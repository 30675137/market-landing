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选品评分" sheetId="1" state="visible" r:id="rId3"/>
    <sheet name="参数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<sst xmlns="http://schemas.openxmlformats.org/spreadsheetml/2006/main" count="55" uniqueCount="48">
  <si>
    <r>
      <rPr>
        <b val="true"/>
        <sz val="12"/>
        <rFont val="Arial Unicode MS"/>
        <family val="2"/>
      </rPr>
      <t xml:space="preserve">选品评分模板 </t>
    </r>
    <r>
      <rPr>
        <b val="true"/>
        <sz val="12"/>
        <rFont val="Cambria"/>
        <family val="0"/>
        <charset val="1"/>
      </rPr>
      <t xml:space="preserve">· </t>
    </r>
    <r>
      <rPr>
        <b val="true"/>
        <sz val="12"/>
        <rFont val="Arial Unicode MS"/>
        <family val="2"/>
      </rPr>
      <t xml:space="preserve">淘系男性成人用品（蓝色</t>
    </r>
    <r>
      <rPr>
        <b val="true"/>
        <sz val="12"/>
        <rFont val="Cambria"/>
        <family val="0"/>
        <charset val="1"/>
      </rPr>
      <t xml:space="preserve">=</t>
    </r>
    <r>
      <rPr>
        <b val="true"/>
        <sz val="12"/>
        <rFont val="Arial Unicode MS"/>
        <family val="2"/>
      </rPr>
      <t xml:space="preserve">输入，黑色</t>
    </r>
    <r>
      <rPr>
        <b val="true"/>
        <sz val="12"/>
        <rFont val="Cambria"/>
        <family val="0"/>
        <charset val="1"/>
      </rPr>
      <t xml:space="preserve">=</t>
    </r>
    <r>
      <rPr>
        <b val="true"/>
        <sz val="12"/>
        <rFont val="Arial Unicode MS"/>
        <family val="2"/>
      </rPr>
      <t xml:space="preserve">公式自动算；权重</t>
    </r>
    <r>
      <rPr>
        <b val="true"/>
        <sz val="12"/>
        <rFont val="Cambria"/>
        <family val="0"/>
        <charset val="1"/>
      </rPr>
      <t xml:space="preserve">/</t>
    </r>
    <r>
      <rPr>
        <b val="true"/>
        <sz val="12"/>
        <rFont val="Arial Unicode MS"/>
        <family val="2"/>
      </rPr>
      <t xml:space="preserve">锚点见「参数」表）</t>
    </r>
  </si>
  <si>
    <t xml:space="preserve">商品名称</t>
  </si>
  <si>
    <r>
      <rPr>
        <b val="true"/>
        <sz val="11"/>
        <rFont val="Arial Unicode MS"/>
        <family val="2"/>
      </rPr>
      <t xml:space="preserve">合规硬门
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Arial Unicode MS"/>
        <family val="2"/>
      </rPr>
      <t xml:space="preserve">命中红线</t>
    </r>
    <r>
      <rPr>
        <b val="true"/>
        <sz val="11"/>
        <rFont val="Cambria"/>
        <family val="0"/>
        <charset val="1"/>
      </rPr>
      <t xml:space="preserve">?</t>
    </r>
    <r>
      <rPr>
        <b val="true"/>
        <sz val="11"/>
        <rFont val="Arial Unicode MS"/>
        <family val="2"/>
      </rPr>
      <t xml:space="preserve">是</t>
    </r>
    <r>
      <rPr>
        <b val="true"/>
        <sz val="11"/>
        <rFont val="Cambria"/>
        <family val="0"/>
        <charset val="1"/>
      </rPr>
      <t xml:space="preserve">/</t>
    </r>
    <r>
      <rPr>
        <b val="true"/>
        <sz val="11"/>
        <rFont val="Arial Unicode MS"/>
        <family val="2"/>
      </rPr>
      <t xml:space="preserve">否</t>
    </r>
    <r>
      <rPr>
        <b val="true"/>
        <sz val="11"/>
        <rFont val="Cambria"/>
        <family val="0"/>
        <charset val="1"/>
      </rPr>
      <t xml:space="preserve">)</t>
    </r>
  </si>
  <si>
    <t xml:space="preserve">售价</t>
  </si>
  <si>
    <t xml:space="preserve">货源成本</t>
  </si>
  <si>
    <t xml:space="preserve">平台扣点率</t>
  </si>
  <si>
    <t xml:space="preserve">物流</t>
  </si>
  <si>
    <t xml:space="preserve">包装</t>
  </si>
  <si>
    <t xml:space="preserve">毛利率</t>
  </si>
  <si>
    <t xml:space="preserve">毛利率得分</t>
  </si>
  <si>
    <t xml:space="preserve">绝对利润额</t>
  </si>
  <si>
    <t xml:space="preserve">绝对利润额得分</t>
  </si>
  <si>
    <t xml:space="preserve">利润分</t>
  </si>
  <si>
    <t xml:space="preserve">月搜索人气</t>
  </si>
  <si>
    <t xml:space="preserve">在线商品数</t>
  </si>
  <si>
    <r>
      <rPr>
        <b val="true"/>
        <sz val="11"/>
        <rFont val="Arial Unicode MS"/>
        <family val="2"/>
      </rPr>
      <t xml:space="preserve">趋势
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Arial Unicode MS"/>
        <family val="2"/>
      </rPr>
      <t xml:space="preserve">上升</t>
    </r>
    <r>
      <rPr>
        <b val="true"/>
        <sz val="11"/>
        <rFont val="Cambria"/>
        <family val="0"/>
        <charset val="1"/>
      </rPr>
      <t xml:space="preserve">/</t>
    </r>
    <r>
      <rPr>
        <b val="true"/>
        <sz val="11"/>
        <rFont val="Arial Unicode MS"/>
        <family val="2"/>
      </rPr>
      <t xml:space="preserve">平稳</t>
    </r>
    <r>
      <rPr>
        <b val="true"/>
        <sz val="11"/>
        <rFont val="Cambria"/>
        <family val="0"/>
        <charset val="1"/>
      </rPr>
      <t xml:space="preserve">/</t>
    </r>
    <r>
      <rPr>
        <b val="true"/>
        <sz val="11"/>
        <rFont val="Arial Unicode MS"/>
        <family val="2"/>
      </rPr>
      <t xml:space="preserve">下降</t>
    </r>
    <r>
      <rPr>
        <b val="true"/>
        <sz val="11"/>
        <rFont val="Cambria"/>
        <family val="0"/>
        <charset val="1"/>
      </rPr>
      <t xml:space="preserve">)</t>
    </r>
  </si>
  <si>
    <t xml:space="preserve">需求分</t>
  </si>
  <si>
    <t xml:space="preserve">竞争度</t>
  </si>
  <si>
    <t xml:space="preserve">竞争分</t>
  </si>
  <si>
    <t xml:space="preserve">趋势分</t>
  </si>
  <si>
    <t xml:space="preserve">蓝海度分</t>
  </si>
  <si>
    <r>
      <rPr>
        <b val="true"/>
        <sz val="11"/>
        <rFont val="Arial Unicode MS"/>
        <family val="2"/>
      </rPr>
      <t xml:space="preserve">复购分
</t>
    </r>
    <r>
      <rPr>
        <b val="true"/>
        <sz val="11"/>
        <rFont val="Cambria"/>
        <family val="0"/>
        <charset val="1"/>
      </rPr>
      <t xml:space="preserve">(0-10)</t>
    </r>
  </si>
  <si>
    <r>
      <rPr>
        <b val="true"/>
        <sz val="11"/>
        <rFont val="Arial Unicode MS"/>
        <family val="2"/>
      </rPr>
      <t xml:space="preserve">合规难度分
</t>
    </r>
    <r>
      <rPr>
        <b val="true"/>
        <sz val="11"/>
        <rFont val="Cambria"/>
        <family val="0"/>
        <charset val="1"/>
      </rPr>
      <t xml:space="preserve">(0-10)</t>
    </r>
  </si>
  <si>
    <t xml:space="preserve">加权原始分</t>
  </si>
  <si>
    <t xml:space="preserve">总分</t>
  </si>
  <si>
    <t xml:space="preserve">决策</t>
  </si>
  <si>
    <r>
      <rPr>
        <sz val="11"/>
        <color rgb="FF0000FF"/>
        <rFont val="Arial Unicode MS"/>
        <family val="2"/>
      </rPr>
      <t xml:space="preserve">润滑液</t>
    </r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Arial Unicode MS"/>
        <family val="2"/>
      </rPr>
      <t xml:space="preserve">高频快消</t>
    </r>
    <r>
      <rPr>
        <sz val="11"/>
        <color rgb="FF0000FF"/>
        <rFont val="Cambria"/>
        <family val="0"/>
        <charset val="1"/>
      </rPr>
      <t xml:space="preserve">)</t>
    </r>
  </si>
  <si>
    <t xml:space="preserve">否</t>
  </si>
  <si>
    <t xml:space="preserve">上升</t>
  </si>
  <si>
    <r>
      <rPr>
        <sz val="11"/>
        <color rgb="FF0000FF"/>
        <rFont val="Arial Unicode MS"/>
        <family val="2"/>
      </rPr>
      <t xml:space="preserve">延时喷剂</t>
    </r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Arial Unicode MS"/>
        <family val="2"/>
      </rPr>
      <t xml:space="preserve">高敏感</t>
    </r>
    <r>
      <rPr>
        <sz val="11"/>
        <color rgb="FF0000FF"/>
        <rFont val="Cambria"/>
        <family val="0"/>
        <charset val="1"/>
      </rPr>
      <t xml:space="preserve">)</t>
    </r>
  </si>
  <si>
    <t xml:space="preserve">平稳</t>
  </si>
  <si>
    <t xml:space="preserve">违法添加壮阳口服</t>
  </si>
  <si>
    <t xml:space="preserve">是</t>
  </si>
  <si>
    <r>
      <rPr>
        <sz val="11"/>
        <color rgb="FF0000FF"/>
        <rFont val="Arial Unicode MS"/>
        <family val="2"/>
      </rPr>
      <t xml:space="preserve">低价避孕套</t>
    </r>
    <r>
      <rPr>
        <sz val="11"/>
        <color rgb="FF0000FF"/>
        <rFont val="Cambria"/>
        <family val="0"/>
        <charset val="1"/>
      </rPr>
      <t xml:space="preserve">(</t>
    </r>
    <r>
      <rPr>
        <sz val="11"/>
        <color rgb="FF0000FF"/>
        <rFont val="Arial Unicode MS"/>
        <family val="2"/>
      </rPr>
      <t xml:space="preserve">薄利</t>
    </r>
    <r>
      <rPr>
        <sz val="11"/>
        <color rgb="FF0000FF"/>
        <rFont val="Cambria"/>
        <family val="0"/>
        <charset val="1"/>
      </rPr>
      <t xml:space="preserve">)</t>
    </r>
  </si>
  <si>
    <t xml:space="preserve">权重（按店铺阶段可调）</t>
  </si>
  <si>
    <t xml:space="preserve">毛利率阈值</t>
  </si>
  <si>
    <t xml:space="preserve">得分</t>
  </si>
  <si>
    <t xml:space="preserve">绝对利润额阈值</t>
  </si>
  <si>
    <t xml:space="preserve">搜索人气阈值</t>
  </si>
  <si>
    <r>
      <rPr>
        <b val="true"/>
        <sz val="11"/>
        <rFont val="Arial Unicode MS"/>
        <family val="2"/>
      </rPr>
      <t xml:space="preserve">竞争度阈值</t>
    </r>
    <r>
      <rPr>
        <b val="true"/>
        <sz val="11"/>
        <rFont val="Cambria"/>
        <family val="0"/>
        <charset val="1"/>
      </rPr>
      <t xml:space="preserve">(&lt;)</t>
    </r>
  </si>
  <si>
    <t xml:space="preserve">利润</t>
  </si>
  <si>
    <t xml:space="preserve">蓝海度</t>
  </si>
  <si>
    <t xml:space="preserve">复购</t>
  </si>
  <si>
    <t xml:space="preserve">合规难度</t>
  </si>
  <si>
    <r>
      <rPr>
        <b val="true"/>
        <sz val="11"/>
        <rFont val="Arial Unicode MS"/>
        <family val="2"/>
      </rPr>
      <t xml:space="preserve">底线</t>
    </r>
    <r>
      <rPr>
        <b val="true"/>
        <sz val="11"/>
        <rFont val="Cambria"/>
        <family val="0"/>
        <charset val="1"/>
      </rPr>
      <t xml:space="preserve">/</t>
    </r>
    <r>
      <rPr>
        <b val="true"/>
        <sz val="11"/>
        <rFont val="Arial Unicode MS"/>
        <family val="2"/>
      </rPr>
      <t xml:space="preserve">封顶</t>
    </r>
  </si>
  <si>
    <t xml:space="preserve">利润底线</t>
  </si>
  <si>
    <t xml:space="preserve">蓝海度底线</t>
  </si>
  <si>
    <t xml:space="preserve">封顶分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</si>
</sst>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.0%"/>
    <numFmt numFmtId="167" formatCode="0.0"/>
    <numFmt numFmtId="168" formatCode="0.00"/>
  </numFmts>
  <fonts count="11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 Unicode MS"/>
      <family val="2"/>
    </font>
    <font>
      <b val="true"/>
      <sz val="12"/>
      <name val="Cambria"/>
      <family val="0"/>
      <charset val="1"/>
    </font>
    <font>
      <b val="true"/>
      <sz val="11"/>
      <name val="Arial Unicode MS"/>
      <family val="2"/>
    </font>
    <font>
      <b val="true"/>
      <sz val="11"/>
      <name val="Cambria"/>
      <family val="0"/>
      <charset val="1"/>
    </font>
    <font>
      <sz val="11"/>
      <color rgb="FF0000FF"/>
      <name val="Arial Unicode MS"/>
      <family val="2"/>
    </font>
    <font>
      <sz val="11"/>
      <color rgb="FF0000FF"/>
      <name val="Cambria"/>
      <family val="0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EB9C"/>
      </patternFill>
    </fill>
    <fill>
      <patternFill patternType="solid">
        <fgColor rgb="FFD9E1F2"/>
        <bgColor rgb="FFBDD7E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BDD7E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6.38"/>
    <col collapsed="false" customWidth="true" hidden="false" outlineLevel="0" max="2" min="2" style="0" width="12.74"/>
    <col collapsed="false" customWidth="true" hidden="false" outlineLevel="0" max="3" min="3" style="0" width="7.28"/>
    <col collapsed="false" customWidth="true" hidden="false" outlineLevel="0" max="5" min="4" style="0" width="8.19"/>
    <col collapsed="false" customWidth="true" hidden="false" outlineLevel="0" max="7" min="6" style="0" width="6.37"/>
    <col collapsed="false" customWidth="true" hidden="false" outlineLevel="0" max="8" min="8" style="0" width="8.19"/>
    <col collapsed="false" customWidth="true" hidden="false" outlineLevel="0" max="9" min="9" style="0" width="9.1"/>
    <col collapsed="false" customWidth="true" hidden="false" outlineLevel="0" max="10" min="10" style="0" width="10.01"/>
    <col collapsed="false" customWidth="true" hidden="false" outlineLevel="0" max="11" min="11" style="0" width="10.92"/>
    <col collapsed="false" customWidth="true" hidden="false" outlineLevel="0" max="12" min="12" style="0" width="7.28"/>
    <col collapsed="false" customWidth="true" hidden="false" outlineLevel="0" max="14" min="13" style="0" width="10.01"/>
    <col collapsed="false" customWidth="true" hidden="false" outlineLevel="0" max="15" min="15" style="0" width="10.92"/>
    <col collapsed="false" customWidth="true" hidden="false" outlineLevel="0" max="16" min="16" style="0" width="7.28"/>
    <col collapsed="false" customWidth="true" hidden="false" outlineLevel="0" max="17" min="17" style="0" width="8.19"/>
    <col collapsed="false" customWidth="true" hidden="false" outlineLevel="0" max="19" min="18" style="0" width="7.28"/>
    <col collapsed="false" customWidth="true" hidden="false" outlineLevel="0" max="20" min="20" style="0" width="8.19"/>
    <col collapsed="false" customWidth="true" hidden="false" outlineLevel="0" max="21" min="21" style="0" width="7.28"/>
    <col collapsed="false" customWidth="true" hidden="false" outlineLevel="0" max="22" min="22" style="0" width="9.1"/>
    <col collapsed="false" customWidth="true" hidden="false" outlineLevel="0" max="23" min="23" style="0" width="10.01"/>
    <col collapsed="false" customWidth="true" hidden="false" outlineLevel="0" max="25" min="24" style="0" width="7.28"/>
  </cols>
  <sheetData>
    <row r="1" customFormat="false" ht="17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3" customFormat="false" ht="42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2" t="s">
        <v>13</v>
      </c>
      <c r="N3" s="2" t="s">
        <v>14</v>
      </c>
      <c r="O3" s="2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2" t="s">
        <v>21</v>
      </c>
      <c r="V3" s="2" t="s">
        <v>22</v>
      </c>
      <c r="W3" s="3" t="s">
        <v>23</v>
      </c>
      <c r="X3" s="3" t="s">
        <v>24</v>
      </c>
      <c r="Y3" s="3" t="s">
        <v>25</v>
      </c>
    </row>
    <row r="4" customFormat="false" ht="16.4" hidden="false" customHeight="false" outlineLevel="0" collapsed="false">
      <c r="A4" s="4" t="s">
        <v>26</v>
      </c>
      <c r="B4" s="4" t="s">
        <v>27</v>
      </c>
      <c r="C4" s="4" t="n">
        <v>39</v>
      </c>
      <c r="D4" s="4" t="n">
        <v>8</v>
      </c>
      <c r="E4" s="5" t="n">
        <v>0.05</v>
      </c>
      <c r="F4" s="4" t="n">
        <v>3</v>
      </c>
      <c r="G4" s="4" t="n">
        <v>1.5</v>
      </c>
      <c r="H4" s="6" t="n">
        <f aca="false">IF($A4="",0,IF(C4=0,0,(C4-D4-C4*E4-F4-G4)/C4))</f>
        <v>0.62948717948718</v>
      </c>
      <c r="I4" s="7" t="n">
        <f aca="false">IF($A4="",0,IF(H4&gt;=参数!$D$2,参数!$E$2,IF(H4&gt;=参数!$D$3,参数!$E$3,IF(H4&gt;=参数!$D$4,参数!$E$4,IF(H4&gt;=参数!$D$5,参数!$E$5,参数!$E$6)))))</f>
        <v>10</v>
      </c>
      <c r="J4" s="7" t="n">
        <f aca="false">IF($A4="",0,C4*H4)</f>
        <v>24.55</v>
      </c>
      <c r="K4" s="7" t="n">
        <f aca="false">IF($A4="",0,IF(J4&gt;=参数!$G$2,参数!$H$2,IF(J4&gt;=参数!$G$3,参数!$H$3,IF(J4&gt;=参数!$G$4,参数!$H$4,IF(J4&gt;=参数!$G$5,参数!$H$5,参数!$H$6)))))</f>
        <v>6</v>
      </c>
      <c r="L4" s="7" t="n">
        <f aca="false">IF($A4="",0,I4*0.6+K4*0.4)</f>
        <v>8.4</v>
      </c>
      <c r="M4" s="4" t="n">
        <v>8000</v>
      </c>
      <c r="N4" s="4" t="n">
        <v>12000</v>
      </c>
      <c r="O4" s="4" t="s">
        <v>28</v>
      </c>
      <c r="P4" s="7" t="n">
        <f aca="false">IF($A4="",0,IF(M4&gt;=参数!$J$2,参数!$K$2,IF(M4&gt;=参数!$J$3,参数!$K$3,IF(M4&gt;=参数!$J$4,参数!$K$4,IF(M4&gt;=参数!$J$5,参数!$K$5,参数!$K$6)))))</f>
        <v>8</v>
      </c>
      <c r="Q4" s="8" t="n">
        <f aca="false">IF($A4="",0,IF(M4=0,0,N4/M4))</f>
        <v>1.5</v>
      </c>
      <c r="R4" s="7" t="n">
        <f aca="false">IF($A4="",0,IF(Q4&lt;参数!$M$2,参数!$N$2,IF(Q4&lt;参数!$M$3,参数!$N$3,IF(Q4&lt;参数!$M$4,参数!$N$4,IF(Q4&lt;参数!$M$5,参数!$N$5,2)))))</f>
        <v>8</v>
      </c>
      <c r="S4" s="7" t="n">
        <f aca="false">IF($A4="",0,IF(O4="上升",10,IF(O4="平稳",6,IF(O4="下降",2,6))))</f>
        <v>10</v>
      </c>
      <c r="T4" s="7" t="n">
        <f aca="false">IF($A4="",0,P4*0.4+R4*0.4+S4*0.2)</f>
        <v>8.4</v>
      </c>
      <c r="U4" s="4" t="n">
        <v>10</v>
      </c>
      <c r="V4" s="4" t="n">
        <v>7</v>
      </c>
      <c r="W4" s="7" t="n">
        <f aca="false">IF($A4="",0,(L4*参数!$B$2+T4*参数!$B$3+U4*参数!$B$4+V4*参数!$B$5)*10)</f>
        <v>85.9</v>
      </c>
      <c r="X4" s="7" t="n">
        <f aca="false">IF($A4="","",IF(B4="是",0,IF(OR(L4&lt;参数!$B$8,T4&lt;参数!$B$9),MIN(W4,参数!$B$10),W4)))</f>
        <v>85.9</v>
      </c>
      <c r="Y4" s="0" t="str">
        <f aca="false">IF($A4="","",IF(X4&gt;=80,"主推",IF(X4&gt;=65,"测款",IF(X4&gt;=50,"观察","放弃"))))</f>
        <v>主推</v>
      </c>
    </row>
    <row r="5" customFormat="false" ht="16.4" hidden="false" customHeight="false" outlineLevel="0" collapsed="false">
      <c r="A5" s="4" t="s">
        <v>29</v>
      </c>
      <c r="B5" s="4" t="s">
        <v>27</v>
      </c>
      <c r="C5" s="4" t="n">
        <v>89</v>
      </c>
      <c r="D5" s="4" t="n">
        <v>20</v>
      </c>
      <c r="E5" s="5" t="n">
        <v>0.05</v>
      </c>
      <c r="F5" s="4" t="n">
        <v>4</v>
      </c>
      <c r="G5" s="4" t="n">
        <v>2</v>
      </c>
      <c r="H5" s="6" t="n">
        <f aca="false">IF($A5="",0,IF(C5=0,0,(C5-D5-C5*E5-F5-G5)/C5))</f>
        <v>0.657865168539326</v>
      </c>
      <c r="I5" s="7" t="n">
        <f aca="false">IF($A5="",0,IF(H5&gt;=参数!$D$2,参数!$E$2,IF(H5&gt;=参数!$D$3,参数!$E$3,IF(H5&gt;=参数!$D$4,参数!$E$4,IF(H5&gt;=参数!$D$5,参数!$E$5,参数!$E$6)))))</f>
        <v>10</v>
      </c>
      <c r="J5" s="7" t="n">
        <f aca="false">IF($A5="",0,C5*H5)</f>
        <v>58.55</v>
      </c>
      <c r="K5" s="7" t="n">
        <f aca="false">IF($A5="",0,IF(J5&gt;=参数!$G$2,参数!$H$2,IF(J5&gt;=参数!$G$3,参数!$H$3,IF(J5&gt;=参数!$G$4,参数!$H$4,IF(J5&gt;=参数!$G$5,参数!$H$5,参数!$H$6)))))</f>
        <v>10</v>
      </c>
      <c r="L5" s="7" t="n">
        <f aca="false">IF($A5="",0,I5*0.6+K5*0.4)</f>
        <v>10</v>
      </c>
      <c r="M5" s="4" t="n">
        <v>6000</v>
      </c>
      <c r="N5" s="4" t="n">
        <v>30000</v>
      </c>
      <c r="O5" s="4" t="s">
        <v>30</v>
      </c>
      <c r="P5" s="7" t="n">
        <f aca="false">IF($A5="",0,IF(M5&gt;=参数!$J$2,参数!$K$2,IF(M5&gt;=参数!$J$3,参数!$K$3,IF(M5&gt;=参数!$J$4,参数!$K$4,IF(M5&gt;=参数!$J$5,参数!$K$5,参数!$K$6)))))</f>
        <v>8</v>
      </c>
      <c r="Q5" s="8" t="n">
        <f aca="false">IF($A5="",0,IF(M5=0,0,N5/M5))</f>
        <v>5</v>
      </c>
      <c r="R5" s="7" t="n">
        <f aca="false">IF($A5="",0,IF(Q5&lt;参数!$M$2,参数!$N$2,IF(Q5&lt;参数!$M$3,参数!$N$3,IF(Q5&lt;参数!$M$4,参数!$N$4,IF(Q5&lt;参数!$M$5,参数!$N$5,2)))))</f>
        <v>6</v>
      </c>
      <c r="S5" s="7" t="n">
        <f aca="false">IF($A5="",0,IF(O5="上升",10,IF(O5="平稳",6,IF(O5="下降",2,6))))</f>
        <v>6</v>
      </c>
      <c r="T5" s="7" t="n">
        <f aca="false">IF($A5="",0,P5*0.4+R5*0.4+S5*0.2)</f>
        <v>6.8</v>
      </c>
      <c r="U5" s="4" t="n">
        <v>7</v>
      </c>
      <c r="V5" s="4" t="n">
        <v>3</v>
      </c>
      <c r="W5" s="7" t="n">
        <f aca="false">IF($A5="",0,(L5*参数!$B$2+T5*参数!$B$3+U5*参数!$B$4+V5*参数!$B$5)*10)</f>
        <v>72.4</v>
      </c>
      <c r="X5" s="7" t="n">
        <f aca="false">IF($A5="","",IF(B5="是",0,IF(OR(L5&lt;参数!$B$8,T5&lt;参数!$B$9),MIN(W5,参数!$B$10),W5)))</f>
        <v>72.4</v>
      </c>
      <c r="Y5" s="0" t="str">
        <f aca="false">IF($A5="","",IF(X5&gt;=80,"主推",IF(X5&gt;=65,"测款",IF(X5&gt;=50,"观察","放弃"))))</f>
        <v>测款</v>
      </c>
    </row>
    <row r="6" customFormat="false" ht="16.4" hidden="false" customHeight="false" outlineLevel="0" collapsed="false">
      <c r="A6" s="4" t="s">
        <v>31</v>
      </c>
      <c r="B6" s="4" t="s">
        <v>32</v>
      </c>
      <c r="C6" s="4" t="n">
        <v>59</v>
      </c>
      <c r="D6" s="4" t="n">
        <v>10</v>
      </c>
      <c r="E6" s="5" t="n">
        <v>0.05</v>
      </c>
      <c r="F6" s="4" t="n">
        <v>3</v>
      </c>
      <c r="G6" s="4" t="n">
        <v>1</v>
      </c>
      <c r="H6" s="6" t="n">
        <f aca="false">IF($A6="",0,IF(C6=0,0,(C6-D6-C6*E6-F6-G6)/C6))</f>
        <v>0.71271186440678</v>
      </c>
      <c r="I6" s="7" t="n">
        <f aca="false">IF($A6="",0,IF(H6&gt;=参数!$D$2,参数!$E$2,IF(H6&gt;=参数!$D$3,参数!$E$3,IF(H6&gt;=参数!$D$4,参数!$E$4,IF(H6&gt;=参数!$D$5,参数!$E$5,参数!$E$6)))))</f>
        <v>10</v>
      </c>
      <c r="J6" s="7" t="n">
        <f aca="false">IF($A6="",0,C6*H6)</f>
        <v>42.05</v>
      </c>
      <c r="K6" s="7" t="n">
        <f aca="false">IF($A6="",0,IF(J6&gt;=参数!$G$2,参数!$H$2,IF(J6&gt;=参数!$G$3,参数!$H$3,IF(J6&gt;=参数!$G$4,参数!$H$4,IF(J6&gt;=参数!$G$5,参数!$H$5,参数!$H$6)))))</f>
        <v>8</v>
      </c>
      <c r="L6" s="7" t="n">
        <f aca="false">IF($A6="",0,I6*0.6+K6*0.4)</f>
        <v>9.2</v>
      </c>
      <c r="M6" s="4" t="n">
        <v>5000</v>
      </c>
      <c r="N6" s="4" t="n">
        <v>8000</v>
      </c>
      <c r="O6" s="4" t="s">
        <v>28</v>
      </c>
      <c r="P6" s="7" t="n">
        <f aca="false">IF($A6="",0,IF(M6&gt;=参数!$J$2,参数!$K$2,IF(M6&gt;=参数!$J$3,参数!$K$3,IF(M6&gt;=参数!$J$4,参数!$K$4,IF(M6&gt;=参数!$J$5,参数!$K$5,参数!$K$6)))))</f>
        <v>8</v>
      </c>
      <c r="Q6" s="8" t="n">
        <f aca="false">IF($A6="",0,IF(M6=0,0,N6/M6))</f>
        <v>1.6</v>
      </c>
      <c r="R6" s="7" t="n">
        <f aca="false">IF($A6="",0,IF(Q6&lt;参数!$M$2,参数!$N$2,IF(Q6&lt;参数!$M$3,参数!$N$3,IF(Q6&lt;参数!$M$4,参数!$N$4,IF(Q6&lt;参数!$M$5,参数!$N$5,2)))))</f>
        <v>8</v>
      </c>
      <c r="S6" s="7" t="n">
        <f aca="false">IF($A6="",0,IF(O6="上升",10,IF(O6="平稳",6,IF(O6="下降",2,6))))</f>
        <v>10</v>
      </c>
      <c r="T6" s="7" t="n">
        <f aca="false">IF($A6="",0,P6*0.4+R6*0.4+S6*0.2)</f>
        <v>8.4</v>
      </c>
      <c r="U6" s="4" t="n">
        <v>6</v>
      </c>
      <c r="V6" s="4" t="n">
        <v>0</v>
      </c>
      <c r="W6" s="7" t="n">
        <f aca="false">IF($A6="",0,(L6*参数!$B$2+T6*参数!$B$3+U6*参数!$B$4+V6*参数!$B$5)*10)</f>
        <v>67.8</v>
      </c>
      <c r="X6" s="7" t="n">
        <f aca="false">IF($A6="","",IF(B6="是",0,IF(OR(L6&lt;参数!$B$8,T6&lt;参数!$B$9),MIN(W6,参数!$B$10),W6)))</f>
        <v>0</v>
      </c>
      <c r="Y6" s="0" t="str">
        <f aca="false">IF($A6="","",IF(X6&gt;=80,"主推",IF(X6&gt;=65,"测款",IF(X6&gt;=50,"观察","放弃"))))</f>
        <v>放弃</v>
      </c>
    </row>
    <row r="7" customFormat="false" ht="16.4" hidden="false" customHeight="false" outlineLevel="0" collapsed="false">
      <c r="A7" s="4" t="s">
        <v>33</v>
      </c>
      <c r="B7" s="4" t="s">
        <v>27</v>
      </c>
      <c r="C7" s="4" t="n">
        <v>9.9</v>
      </c>
      <c r="D7" s="4" t="n">
        <v>5</v>
      </c>
      <c r="E7" s="5" t="n">
        <v>0.05</v>
      </c>
      <c r="F7" s="4" t="n">
        <v>2.5</v>
      </c>
      <c r="G7" s="4" t="n">
        <v>1</v>
      </c>
      <c r="H7" s="6" t="n">
        <f aca="false">IF($A7="",0,IF(C7=0,0,(C7-D7-C7*E7-F7-G7)/C7))</f>
        <v>0.0914141414141414</v>
      </c>
      <c r="I7" s="7" t="n">
        <f aca="false">IF($A7="",0,IF(H7&gt;=参数!$D$2,参数!$E$2,IF(H7&gt;=参数!$D$3,参数!$E$3,IF(H7&gt;=参数!$D$4,参数!$E$4,IF(H7&gt;=参数!$D$5,参数!$E$5,参数!$E$6)))))</f>
        <v>2</v>
      </c>
      <c r="J7" s="7" t="n">
        <f aca="false">IF($A7="",0,C7*H7)</f>
        <v>0.905</v>
      </c>
      <c r="K7" s="7" t="n">
        <f aca="false">IF($A7="",0,IF(J7&gt;=参数!$G$2,参数!$H$2,IF(J7&gt;=参数!$G$3,参数!$H$3,IF(J7&gt;=参数!$G$4,参数!$H$4,IF(J7&gt;=参数!$G$5,参数!$H$5,参数!$H$6)))))</f>
        <v>2</v>
      </c>
      <c r="L7" s="7" t="n">
        <f aca="false">IF($A7="",0,I7*0.6+K7*0.4)</f>
        <v>2</v>
      </c>
      <c r="M7" s="4" t="n">
        <v>20000</v>
      </c>
      <c r="N7" s="4" t="n">
        <v>40000</v>
      </c>
      <c r="O7" s="4" t="s">
        <v>28</v>
      </c>
      <c r="P7" s="7" t="n">
        <f aca="false">IF($A7="",0,IF(M7&gt;=参数!$J$2,参数!$K$2,IF(M7&gt;=参数!$J$3,参数!$K$3,IF(M7&gt;=参数!$J$4,参数!$K$4,IF(M7&gt;=参数!$J$5,参数!$K$5,参数!$K$6)))))</f>
        <v>10</v>
      </c>
      <c r="Q7" s="8" t="n">
        <f aca="false">IF($A7="",0,IF(M7=0,0,N7/M7))</f>
        <v>2</v>
      </c>
      <c r="R7" s="7" t="n">
        <f aca="false">IF($A7="",0,IF(Q7&lt;参数!$M$2,参数!$N$2,IF(Q7&lt;参数!$M$3,参数!$N$3,IF(Q7&lt;参数!$M$4,参数!$N$4,IF(Q7&lt;参数!$M$5,参数!$N$5,2)))))</f>
        <v>8</v>
      </c>
      <c r="S7" s="7" t="n">
        <f aca="false">IF($A7="",0,IF(O7="上升",10,IF(O7="平稳",6,IF(O7="下降",2,6))))</f>
        <v>10</v>
      </c>
      <c r="T7" s="7" t="n">
        <f aca="false">IF($A7="",0,P7*0.4+R7*0.4+S7*0.2)</f>
        <v>9.2</v>
      </c>
      <c r="U7" s="4" t="n">
        <v>10</v>
      </c>
      <c r="V7" s="4" t="n">
        <v>5</v>
      </c>
      <c r="W7" s="7" t="n">
        <f aca="false">IF($A7="",0,(L7*参数!$B$2+T7*参数!$B$3+U7*参数!$B$4+V7*参数!$B$5)*10)</f>
        <v>66.1</v>
      </c>
      <c r="X7" s="7" t="n">
        <f aca="false">IF($A7="","",IF(B7="是",0,IF(OR(L7&lt;参数!$B$8,T7&lt;参数!$B$9),MIN(W7,参数!$B$10),W7)))</f>
        <v>50</v>
      </c>
      <c r="Y7" s="0" t="str">
        <f aca="false">IF($A7="","",IF(X7&gt;=80,"主推",IF(X7&gt;=65,"测款",IF(X7&gt;=50,"观察","放弃"))))</f>
        <v>观察</v>
      </c>
    </row>
    <row r="8" customFormat="false" ht="15" hidden="false" customHeight="false" outlineLevel="0" collapsed="false">
      <c r="A8" s="4"/>
      <c r="B8" s="4"/>
      <c r="C8" s="4"/>
      <c r="D8" s="4"/>
      <c r="E8" s="5"/>
      <c r="F8" s="4"/>
      <c r="G8" s="4"/>
      <c r="H8" s="6" t="n">
        <f aca="false">IF($A8="",0,IF(C8=0,0,(C8-D8-C8*E8-F8-G8)/C8))</f>
        <v>0</v>
      </c>
      <c r="I8" s="7" t="n">
        <f aca="false">IF($A8="",0,IF(H8&gt;=参数!$D$2,参数!$E$2,IF(H8&gt;=参数!$D$3,参数!$E$3,IF(H8&gt;=参数!$D$4,参数!$E$4,IF(H8&gt;=参数!$D$5,参数!$E$5,参数!$E$6)))))</f>
        <v>0</v>
      </c>
      <c r="J8" s="7" t="n">
        <f aca="false">IF($A8="",0,C8*H8)</f>
        <v>0</v>
      </c>
      <c r="K8" s="7" t="n">
        <f aca="false">IF($A8="",0,IF(J8&gt;=参数!$G$2,参数!$H$2,IF(J8&gt;=参数!$G$3,参数!$H$3,IF(J8&gt;=参数!$G$4,参数!$H$4,IF(J8&gt;=参数!$G$5,参数!$H$5,参数!$H$6)))))</f>
        <v>0</v>
      </c>
      <c r="L8" s="7" t="n">
        <f aca="false">IF($A8="",0,I8*0.6+K8*0.4)</f>
        <v>0</v>
      </c>
      <c r="M8" s="4"/>
      <c r="N8" s="4"/>
      <c r="O8" s="4"/>
      <c r="P8" s="7" t="n">
        <f aca="false">IF($A8="",0,IF(M8&gt;=参数!$J$2,参数!$K$2,IF(M8&gt;=参数!$J$3,参数!$K$3,IF(M8&gt;=参数!$J$4,参数!$K$4,IF(M8&gt;=参数!$J$5,参数!$K$5,参数!$K$6)))))</f>
        <v>0</v>
      </c>
      <c r="Q8" s="8" t="n">
        <f aca="false">IF($A8="",0,IF(M8=0,0,N8/M8))</f>
        <v>0</v>
      </c>
      <c r="R8" s="7" t="n">
        <f aca="false">IF($A8="",0,IF(Q8&lt;参数!$M$2,参数!$N$2,IF(Q8&lt;参数!$M$3,参数!$N$3,IF(Q8&lt;参数!$M$4,参数!$N$4,IF(Q8&lt;参数!$M$5,参数!$N$5,2)))))</f>
        <v>0</v>
      </c>
      <c r="S8" s="7" t="n">
        <f aca="false">IF($A8="",0,IF(O8="上升",10,IF(O8="平稳",6,IF(O8="下降",2,6))))</f>
        <v>0</v>
      </c>
      <c r="T8" s="7" t="n">
        <f aca="false">IF($A8="",0,P8*0.4+R8*0.4+S8*0.2)</f>
        <v>0</v>
      </c>
      <c r="U8" s="4"/>
      <c r="V8" s="4"/>
      <c r="W8" s="7" t="n">
        <f aca="false">IF($A8="",0,(L8*参数!$B$2+T8*参数!$B$3+U8*参数!$B$4+V8*参数!$B$5)*10)</f>
        <v>0</v>
      </c>
      <c r="X8" s="7" t="str">
        <f aca="false">IF($A8="","",IF(B8="是",0,IF(OR(L8&lt;参数!$B$8,T8&lt;参数!$B$9),MIN(W8,参数!$B$10),W8)))</f>
        <v/>
      </c>
      <c r="Y8" s="0" t="str">
        <f aca="false">IF($A8="","",IF(X8&gt;=80,"主推",IF(X8&gt;=65,"测款",IF(X8&gt;=50,"观察","放弃"))))</f>
        <v/>
      </c>
    </row>
    <row r="9" customFormat="false" ht="15" hidden="false" customHeight="false" outlineLevel="0" collapsed="false">
      <c r="A9" s="4"/>
      <c r="B9" s="4"/>
      <c r="C9" s="4"/>
      <c r="D9" s="4"/>
      <c r="E9" s="5"/>
      <c r="F9" s="4"/>
      <c r="G9" s="4"/>
      <c r="H9" s="6" t="n">
        <f aca="false">IF($A9="",0,IF(C9=0,0,(C9-D9-C9*E9-F9-G9)/C9))</f>
        <v>0</v>
      </c>
      <c r="I9" s="7" t="n">
        <f aca="false">IF($A9="",0,IF(H9&gt;=参数!$D$2,参数!$E$2,IF(H9&gt;=参数!$D$3,参数!$E$3,IF(H9&gt;=参数!$D$4,参数!$E$4,IF(H9&gt;=参数!$D$5,参数!$E$5,参数!$E$6)))))</f>
        <v>0</v>
      </c>
      <c r="J9" s="7" t="n">
        <f aca="false">IF($A9="",0,C9*H9)</f>
        <v>0</v>
      </c>
      <c r="K9" s="7" t="n">
        <f aca="false">IF($A9="",0,IF(J9&gt;=参数!$G$2,参数!$H$2,IF(J9&gt;=参数!$G$3,参数!$H$3,IF(J9&gt;=参数!$G$4,参数!$H$4,IF(J9&gt;=参数!$G$5,参数!$H$5,参数!$H$6)))))</f>
        <v>0</v>
      </c>
      <c r="L9" s="7" t="n">
        <f aca="false">IF($A9="",0,I9*0.6+K9*0.4)</f>
        <v>0</v>
      </c>
      <c r="M9" s="4"/>
      <c r="N9" s="4"/>
      <c r="O9" s="4"/>
      <c r="P9" s="7" t="n">
        <f aca="false">IF($A9="",0,IF(M9&gt;=参数!$J$2,参数!$K$2,IF(M9&gt;=参数!$J$3,参数!$K$3,IF(M9&gt;=参数!$J$4,参数!$K$4,IF(M9&gt;=参数!$J$5,参数!$K$5,参数!$K$6)))))</f>
        <v>0</v>
      </c>
      <c r="Q9" s="8" t="n">
        <f aca="false">IF($A9="",0,IF(M9=0,0,N9/M9))</f>
        <v>0</v>
      </c>
      <c r="R9" s="7" t="n">
        <f aca="false">IF($A9="",0,IF(Q9&lt;参数!$M$2,参数!$N$2,IF(Q9&lt;参数!$M$3,参数!$N$3,IF(Q9&lt;参数!$M$4,参数!$N$4,IF(Q9&lt;参数!$M$5,参数!$N$5,2)))))</f>
        <v>0</v>
      </c>
      <c r="S9" s="7" t="n">
        <f aca="false">IF($A9="",0,IF(O9="上升",10,IF(O9="平稳",6,IF(O9="下降",2,6))))</f>
        <v>0</v>
      </c>
      <c r="T9" s="7" t="n">
        <f aca="false">IF($A9="",0,P9*0.4+R9*0.4+S9*0.2)</f>
        <v>0</v>
      </c>
      <c r="U9" s="4"/>
      <c r="V9" s="4"/>
      <c r="W9" s="7" t="n">
        <f aca="false">IF($A9="",0,(L9*参数!$B$2+T9*参数!$B$3+U9*参数!$B$4+V9*参数!$B$5)*10)</f>
        <v>0</v>
      </c>
      <c r="X9" s="7" t="str">
        <f aca="false">IF($A9="","",IF(B9="是",0,IF(OR(L9&lt;参数!$B$8,T9&lt;参数!$B$9),MIN(W9,参数!$B$10),W9)))</f>
        <v/>
      </c>
      <c r="Y9" s="0" t="str">
        <f aca="false">IF($A9="","",IF(X9&gt;=80,"主推",IF(X9&gt;=65,"测款",IF(X9&gt;=50,"观察","放弃"))))</f>
        <v/>
      </c>
    </row>
    <row r="10" customFormat="false" ht="15" hidden="false" customHeight="false" outlineLevel="0" collapsed="false">
      <c r="A10" s="4"/>
      <c r="B10" s="4"/>
      <c r="C10" s="4"/>
      <c r="D10" s="4"/>
      <c r="E10" s="5"/>
      <c r="F10" s="4"/>
      <c r="G10" s="4"/>
      <c r="H10" s="6" t="n">
        <f aca="false">IF($A10="",0,IF(C10=0,0,(C10-D10-C10*E10-F10-G10)/C10))</f>
        <v>0</v>
      </c>
      <c r="I10" s="7" t="n">
        <f aca="false">IF($A10="",0,IF(H10&gt;=参数!$D$2,参数!$E$2,IF(H10&gt;=参数!$D$3,参数!$E$3,IF(H10&gt;=参数!$D$4,参数!$E$4,IF(H10&gt;=参数!$D$5,参数!$E$5,参数!$E$6)))))</f>
        <v>0</v>
      </c>
      <c r="J10" s="7" t="n">
        <f aca="false">IF($A10="",0,C10*H10)</f>
        <v>0</v>
      </c>
      <c r="K10" s="7" t="n">
        <f aca="false">IF($A10="",0,IF(J10&gt;=参数!$G$2,参数!$H$2,IF(J10&gt;=参数!$G$3,参数!$H$3,IF(J10&gt;=参数!$G$4,参数!$H$4,IF(J10&gt;=参数!$G$5,参数!$H$5,参数!$H$6)))))</f>
        <v>0</v>
      </c>
      <c r="L10" s="7" t="n">
        <f aca="false">IF($A10="",0,I10*0.6+K10*0.4)</f>
        <v>0</v>
      </c>
      <c r="M10" s="4"/>
      <c r="N10" s="4"/>
      <c r="O10" s="4"/>
      <c r="P10" s="7" t="n">
        <f aca="false">IF($A10="",0,IF(M10&gt;=参数!$J$2,参数!$K$2,IF(M10&gt;=参数!$J$3,参数!$K$3,IF(M10&gt;=参数!$J$4,参数!$K$4,IF(M10&gt;=参数!$J$5,参数!$K$5,参数!$K$6)))))</f>
        <v>0</v>
      </c>
      <c r="Q10" s="8" t="n">
        <f aca="false">IF($A10="",0,IF(M10=0,0,N10/M10))</f>
        <v>0</v>
      </c>
      <c r="R10" s="7" t="n">
        <f aca="false">IF($A10="",0,IF(Q10&lt;参数!$M$2,参数!$N$2,IF(Q10&lt;参数!$M$3,参数!$N$3,IF(Q10&lt;参数!$M$4,参数!$N$4,IF(Q10&lt;参数!$M$5,参数!$N$5,2)))))</f>
        <v>0</v>
      </c>
      <c r="S10" s="7" t="n">
        <f aca="false">IF($A10="",0,IF(O10="上升",10,IF(O10="平稳",6,IF(O10="下降",2,6))))</f>
        <v>0</v>
      </c>
      <c r="T10" s="7" t="n">
        <f aca="false">IF($A10="",0,P10*0.4+R10*0.4+S10*0.2)</f>
        <v>0</v>
      </c>
      <c r="U10" s="4"/>
      <c r="V10" s="4"/>
      <c r="W10" s="7" t="n">
        <f aca="false">IF($A10="",0,(L10*参数!$B$2+T10*参数!$B$3+U10*参数!$B$4+V10*参数!$B$5)*10)</f>
        <v>0</v>
      </c>
      <c r="X10" s="7" t="str">
        <f aca="false">IF($A10="","",IF(B10="是",0,IF(OR(L10&lt;参数!$B$8,T10&lt;参数!$B$9),MIN(W10,参数!$B$10),W10)))</f>
        <v/>
      </c>
      <c r="Y10" s="0" t="str">
        <f aca="false">IF($A10="","",IF(X10&gt;=80,"主推",IF(X10&gt;=65,"测款",IF(X10&gt;=50,"观察","放弃"))))</f>
        <v/>
      </c>
    </row>
    <row r="11" customFormat="false" ht="15" hidden="false" customHeight="false" outlineLevel="0" collapsed="false">
      <c r="A11" s="4"/>
      <c r="B11" s="4"/>
      <c r="C11" s="4"/>
      <c r="D11" s="4"/>
      <c r="E11" s="5"/>
      <c r="F11" s="4"/>
      <c r="G11" s="4"/>
      <c r="H11" s="6" t="n">
        <f aca="false">IF($A11="",0,IF(C11=0,0,(C11-D11-C11*E11-F11-G11)/C11))</f>
        <v>0</v>
      </c>
      <c r="I11" s="7" t="n">
        <f aca="false">IF($A11="",0,IF(H11&gt;=参数!$D$2,参数!$E$2,IF(H11&gt;=参数!$D$3,参数!$E$3,IF(H11&gt;=参数!$D$4,参数!$E$4,IF(H11&gt;=参数!$D$5,参数!$E$5,参数!$E$6)))))</f>
        <v>0</v>
      </c>
      <c r="J11" s="7" t="n">
        <f aca="false">IF($A11="",0,C11*H11)</f>
        <v>0</v>
      </c>
      <c r="K11" s="7" t="n">
        <f aca="false">IF($A11="",0,IF(J11&gt;=参数!$G$2,参数!$H$2,IF(J11&gt;=参数!$G$3,参数!$H$3,IF(J11&gt;=参数!$G$4,参数!$H$4,IF(J11&gt;=参数!$G$5,参数!$H$5,参数!$H$6)))))</f>
        <v>0</v>
      </c>
      <c r="L11" s="7" t="n">
        <f aca="false">IF($A11="",0,I11*0.6+K11*0.4)</f>
        <v>0</v>
      </c>
      <c r="M11" s="4"/>
      <c r="N11" s="4"/>
      <c r="O11" s="4"/>
      <c r="P11" s="7" t="n">
        <f aca="false">IF($A11="",0,IF(M11&gt;=参数!$J$2,参数!$K$2,IF(M11&gt;=参数!$J$3,参数!$K$3,IF(M11&gt;=参数!$J$4,参数!$K$4,IF(M11&gt;=参数!$J$5,参数!$K$5,参数!$K$6)))))</f>
        <v>0</v>
      </c>
      <c r="Q11" s="8" t="n">
        <f aca="false">IF($A11="",0,IF(M11=0,0,N11/M11))</f>
        <v>0</v>
      </c>
      <c r="R11" s="7" t="n">
        <f aca="false">IF($A11="",0,IF(Q11&lt;参数!$M$2,参数!$N$2,IF(Q11&lt;参数!$M$3,参数!$N$3,IF(Q11&lt;参数!$M$4,参数!$N$4,IF(Q11&lt;参数!$M$5,参数!$N$5,2)))))</f>
        <v>0</v>
      </c>
      <c r="S11" s="7" t="n">
        <f aca="false">IF($A11="",0,IF(O11="上升",10,IF(O11="平稳",6,IF(O11="下降",2,6))))</f>
        <v>0</v>
      </c>
      <c r="T11" s="7" t="n">
        <f aca="false">IF($A11="",0,P11*0.4+R11*0.4+S11*0.2)</f>
        <v>0</v>
      </c>
      <c r="U11" s="4"/>
      <c r="V11" s="4"/>
      <c r="W11" s="7" t="n">
        <f aca="false">IF($A11="",0,(L11*参数!$B$2+T11*参数!$B$3+U11*参数!$B$4+V11*参数!$B$5)*10)</f>
        <v>0</v>
      </c>
      <c r="X11" s="7" t="str">
        <f aca="false">IF($A11="","",IF(B11="是",0,IF(OR(L11&lt;参数!$B$8,T11&lt;参数!$B$9),MIN(W11,参数!$B$10),W11)))</f>
        <v/>
      </c>
      <c r="Y11" s="0" t="str">
        <f aca="false">IF($A11="","",IF(X11&gt;=80,"主推",IF(X11&gt;=65,"测款",IF(X11&gt;=50,"观察","放弃"))))</f>
        <v/>
      </c>
    </row>
    <row r="12" customFormat="false" ht="15" hidden="false" customHeight="false" outlineLevel="0" collapsed="false">
      <c r="A12" s="4"/>
      <c r="B12" s="4"/>
      <c r="C12" s="4"/>
      <c r="D12" s="4"/>
      <c r="E12" s="5"/>
      <c r="F12" s="4"/>
      <c r="G12" s="4"/>
      <c r="H12" s="6" t="n">
        <f aca="false">IF($A12="",0,IF(C12=0,0,(C12-D12-C12*E12-F12-G12)/C12))</f>
        <v>0</v>
      </c>
      <c r="I12" s="7" t="n">
        <f aca="false">IF($A12="",0,IF(H12&gt;=参数!$D$2,参数!$E$2,IF(H12&gt;=参数!$D$3,参数!$E$3,IF(H12&gt;=参数!$D$4,参数!$E$4,IF(H12&gt;=参数!$D$5,参数!$E$5,参数!$E$6)))))</f>
        <v>0</v>
      </c>
      <c r="J12" s="7" t="n">
        <f aca="false">IF($A12="",0,C12*H12)</f>
        <v>0</v>
      </c>
      <c r="K12" s="7" t="n">
        <f aca="false">IF($A12="",0,IF(J12&gt;=参数!$G$2,参数!$H$2,IF(J12&gt;=参数!$G$3,参数!$H$3,IF(J12&gt;=参数!$G$4,参数!$H$4,IF(J12&gt;=参数!$G$5,参数!$H$5,参数!$H$6)))))</f>
        <v>0</v>
      </c>
      <c r="L12" s="7" t="n">
        <f aca="false">IF($A12="",0,I12*0.6+K12*0.4)</f>
        <v>0</v>
      </c>
      <c r="M12" s="4"/>
      <c r="N12" s="4"/>
      <c r="O12" s="4"/>
      <c r="P12" s="7" t="n">
        <f aca="false">IF($A12="",0,IF(M12&gt;=参数!$J$2,参数!$K$2,IF(M12&gt;=参数!$J$3,参数!$K$3,IF(M12&gt;=参数!$J$4,参数!$K$4,IF(M12&gt;=参数!$J$5,参数!$K$5,参数!$K$6)))))</f>
        <v>0</v>
      </c>
      <c r="Q12" s="8" t="n">
        <f aca="false">IF($A12="",0,IF(M12=0,0,N12/M12))</f>
        <v>0</v>
      </c>
      <c r="R12" s="7" t="n">
        <f aca="false">IF($A12="",0,IF(Q12&lt;参数!$M$2,参数!$N$2,IF(Q12&lt;参数!$M$3,参数!$N$3,IF(Q12&lt;参数!$M$4,参数!$N$4,IF(Q12&lt;参数!$M$5,参数!$N$5,2)))))</f>
        <v>0</v>
      </c>
      <c r="S12" s="7" t="n">
        <f aca="false">IF($A12="",0,IF(O12="上升",10,IF(O12="平稳",6,IF(O12="下降",2,6))))</f>
        <v>0</v>
      </c>
      <c r="T12" s="7" t="n">
        <f aca="false">IF($A12="",0,P12*0.4+R12*0.4+S12*0.2)</f>
        <v>0</v>
      </c>
      <c r="U12" s="4"/>
      <c r="V12" s="4"/>
      <c r="W12" s="7" t="n">
        <f aca="false">IF($A12="",0,(L12*参数!$B$2+T12*参数!$B$3+U12*参数!$B$4+V12*参数!$B$5)*10)</f>
        <v>0</v>
      </c>
      <c r="X12" s="7" t="str">
        <f aca="false">IF($A12="","",IF(B12="是",0,IF(OR(L12&lt;参数!$B$8,T12&lt;参数!$B$9),MIN(W12,参数!$B$10),W12)))</f>
        <v/>
      </c>
      <c r="Y12" s="0" t="str">
        <f aca="false">IF($A12="","",IF(X12&gt;=80,"主推",IF(X12&gt;=65,"测款",IF(X12&gt;=50,"观察","放弃"))))</f>
        <v/>
      </c>
    </row>
    <row r="13" customFormat="false" ht="15" hidden="false" customHeight="false" outlineLevel="0" collapsed="false">
      <c r="A13" s="4"/>
      <c r="B13" s="4"/>
      <c r="C13" s="4"/>
      <c r="D13" s="4"/>
      <c r="E13" s="5"/>
      <c r="F13" s="4"/>
      <c r="G13" s="4"/>
      <c r="H13" s="6" t="n">
        <f aca="false">IF($A13="",0,IF(C13=0,0,(C13-D13-C13*E13-F13-G13)/C13))</f>
        <v>0</v>
      </c>
      <c r="I13" s="7" t="n">
        <f aca="false">IF($A13="",0,IF(H13&gt;=参数!$D$2,参数!$E$2,IF(H13&gt;=参数!$D$3,参数!$E$3,IF(H13&gt;=参数!$D$4,参数!$E$4,IF(H13&gt;=参数!$D$5,参数!$E$5,参数!$E$6)))))</f>
        <v>0</v>
      </c>
      <c r="J13" s="7" t="n">
        <f aca="false">IF($A13="",0,C13*H13)</f>
        <v>0</v>
      </c>
      <c r="K13" s="7" t="n">
        <f aca="false">IF($A13="",0,IF(J13&gt;=参数!$G$2,参数!$H$2,IF(J13&gt;=参数!$G$3,参数!$H$3,IF(J13&gt;=参数!$G$4,参数!$H$4,IF(J13&gt;=参数!$G$5,参数!$H$5,参数!$H$6)))))</f>
        <v>0</v>
      </c>
      <c r="L13" s="7" t="n">
        <f aca="false">IF($A13="",0,I13*0.6+K13*0.4)</f>
        <v>0</v>
      </c>
      <c r="M13" s="4"/>
      <c r="N13" s="4"/>
      <c r="O13" s="4"/>
      <c r="P13" s="7" t="n">
        <f aca="false">IF($A13="",0,IF(M13&gt;=参数!$J$2,参数!$K$2,IF(M13&gt;=参数!$J$3,参数!$K$3,IF(M13&gt;=参数!$J$4,参数!$K$4,IF(M13&gt;=参数!$J$5,参数!$K$5,参数!$K$6)))))</f>
        <v>0</v>
      </c>
      <c r="Q13" s="8" t="n">
        <f aca="false">IF($A13="",0,IF(M13=0,0,N13/M13))</f>
        <v>0</v>
      </c>
      <c r="R13" s="7" t="n">
        <f aca="false">IF($A13="",0,IF(Q13&lt;参数!$M$2,参数!$N$2,IF(Q13&lt;参数!$M$3,参数!$N$3,IF(Q13&lt;参数!$M$4,参数!$N$4,IF(Q13&lt;参数!$M$5,参数!$N$5,2)))))</f>
        <v>0</v>
      </c>
      <c r="S13" s="7" t="n">
        <f aca="false">IF($A13="",0,IF(O13="上升",10,IF(O13="平稳",6,IF(O13="下降",2,6))))</f>
        <v>0</v>
      </c>
      <c r="T13" s="7" t="n">
        <f aca="false">IF($A13="",0,P13*0.4+R13*0.4+S13*0.2)</f>
        <v>0</v>
      </c>
      <c r="U13" s="4"/>
      <c r="V13" s="4"/>
      <c r="W13" s="7" t="n">
        <f aca="false">IF($A13="",0,(L13*参数!$B$2+T13*参数!$B$3+U13*参数!$B$4+V13*参数!$B$5)*10)</f>
        <v>0</v>
      </c>
      <c r="X13" s="7" t="str">
        <f aca="false">IF($A13="","",IF(B13="是",0,IF(OR(L13&lt;参数!$B$8,T13&lt;参数!$B$9),MIN(W13,参数!$B$10),W13)))</f>
        <v/>
      </c>
      <c r="Y13" s="0" t="str">
        <f aca="false">IF($A13="","",IF(X13&gt;=80,"主推",IF(X13&gt;=65,"测款",IF(X13&gt;=50,"观察","放弃"))))</f>
        <v/>
      </c>
    </row>
    <row r="14" customFormat="false" ht="15" hidden="false" customHeight="false" outlineLevel="0" collapsed="false">
      <c r="A14" s="4"/>
      <c r="B14" s="4"/>
      <c r="C14" s="4"/>
      <c r="D14" s="4"/>
      <c r="E14" s="5"/>
      <c r="F14" s="4"/>
      <c r="G14" s="4"/>
      <c r="H14" s="6" t="n">
        <f aca="false">IF($A14="",0,IF(C14=0,0,(C14-D14-C14*E14-F14-G14)/C14))</f>
        <v>0</v>
      </c>
      <c r="I14" s="7" t="n">
        <f aca="false">IF($A14="",0,IF(H14&gt;=参数!$D$2,参数!$E$2,IF(H14&gt;=参数!$D$3,参数!$E$3,IF(H14&gt;=参数!$D$4,参数!$E$4,IF(H14&gt;=参数!$D$5,参数!$E$5,参数!$E$6)))))</f>
        <v>0</v>
      </c>
      <c r="J14" s="7" t="n">
        <f aca="false">IF($A14="",0,C14*H14)</f>
        <v>0</v>
      </c>
      <c r="K14" s="7" t="n">
        <f aca="false">IF($A14="",0,IF(J14&gt;=参数!$G$2,参数!$H$2,IF(J14&gt;=参数!$G$3,参数!$H$3,IF(J14&gt;=参数!$G$4,参数!$H$4,IF(J14&gt;=参数!$G$5,参数!$H$5,参数!$H$6)))))</f>
        <v>0</v>
      </c>
      <c r="L14" s="7" t="n">
        <f aca="false">IF($A14="",0,I14*0.6+K14*0.4)</f>
        <v>0</v>
      </c>
      <c r="M14" s="4"/>
      <c r="N14" s="4"/>
      <c r="O14" s="4"/>
      <c r="P14" s="7" t="n">
        <f aca="false">IF($A14="",0,IF(M14&gt;=参数!$J$2,参数!$K$2,IF(M14&gt;=参数!$J$3,参数!$K$3,IF(M14&gt;=参数!$J$4,参数!$K$4,IF(M14&gt;=参数!$J$5,参数!$K$5,参数!$K$6)))))</f>
        <v>0</v>
      </c>
      <c r="Q14" s="8" t="n">
        <f aca="false">IF($A14="",0,IF(M14=0,0,N14/M14))</f>
        <v>0</v>
      </c>
      <c r="R14" s="7" t="n">
        <f aca="false">IF($A14="",0,IF(Q14&lt;参数!$M$2,参数!$N$2,IF(Q14&lt;参数!$M$3,参数!$N$3,IF(Q14&lt;参数!$M$4,参数!$N$4,IF(Q14&lt;参数!$M$5,参数!$N$5,2)))))</f>
        <v>0</v>
      </c>
      <c r="S14" s="7" t="n">
        <f aca="false">IF($A14="",0,IF(O14="上升",10,IF(O14="平稳",6,IF(O14="下降",2,6))))</f>
        <v>0</v>
      </c>
      <c r="T14" s="7" t="n">
        <f aca="false">IF($A14="",0,P14*0.4+R14*0.4+S14*0.2)</f>
        <v>0</v>
      </c>
      <c r="U14" s="4"/>
      <c r="V14" s="4"/>
      <c r="W14" s="7" t="n">
        <f aca="false">IF($A14="",0,(L14*参数!$B$2+T14*参数!$B$3+U14*参数!$B$4+V14*参数!$B$5)*10)</f>
        <v>0</v>
      </c>
      <c r="X14" s="7" t="str">
        <f aca="false">IF($A14="","",IF(B14="是",0,IF(OR(L14&lt;参数!$B$8,T14&lt;参数!$B$9),MIN(W14,参数!$B$10),W14)))</f>
        <v/>
      </c>
      <c r="Y14" s="0" t="str">
        <f aca="false">IF($A14="","",IF(X14&gt;=80,"主推",IF(X14&gt;=65,"测款",IF(X14&gt;=50,"观察","放弃"))))</f>
        <v/>
      </c>
    </row>
    <row r="15" customFormat="false" ht="15" hidden="false" customHeight="false" outlineLevel="0" collapsed="false">
      <c r="A15" s="4"/>
      <c r="B15" s="4"/>
      <c r="C15" s="4"/>
      <c r="D15" s="4"/>
      <c r="E15" s="5"/>
      <c r="F15" s="4"/>
      <c r="G15" s="4"/>
      <c r="H15" s="6" t="n">
        <f aca="false">IF($A15="",0,IF(C15=0,0,(C15-D15-C15*E15-F15-G15)/C15))</f>
        <v>0</v>
      </c>
      <c r="I15" s="7" t="n">
        <f aca="false">IF($A15="",0,IF(H15&gt;=参数!$D$2,参数!$E$2,IF(H15&gt;=参数!$D$3,参数!$E$3,IF(H15&gt;=参数!$D$4,参数!$E$4,IF(H15&gt;=参数!$D$5,参数!$E$5,参数!$E$6)))))</f>
        <v>0</v>
      </c>
      <c r="J15" s="7" t="n">
        <f aca="false">IF($A15="",0,C15*H15)</f>
        <v>0</v>
      </c>
      <c r="K15" s="7" t="n">
        <f aca="false">IF($A15="",0,IF(J15&gt;=参数!$G$2,参数!$H$2,IF(J15&gt;=参数!$G$3,参数!$H$3,IF(J15&gt;=参数!$G$4,参数!$H$4,IF(J15&gt;=参数!$G$5,参数!$H$5,参数!$H$6)))))</f>
        <v>0</v>
      </c>
      <c r="L15" s="7" t="n">
        <f aca="false">IF($A15="",0,I15*0.6+K15*0.4)</f>
        <v>0</v>
      </c>
      <c r="M15" s="4"/>
      <c r="N15" s="4"/>
      <c r="O15" s="4"/>
      <c r="P15" s="7" t="n">
        <f aca="false">IF($A15="",0,IF(M15&gt;=参数!$J$2,参数!$K$2,IF(M15&gt;=参数!$J$3,参数!$K$3,IF(M15&gt;=参数!$J$4,参数!$K$4,IF(M15&gt;=参数!$J$5,参数!$K$5,参数!$K$6)))))</f>
        <v>0</v>
      </c>
      <c r="Q15" s="8" t="n">
        <f aca="false">IF($A15="",0,IF(M15=0,0,N15/M15))</f>
        <v>0</v>
      </c>
      <c r="R15" s="7" t="n">
        <f aca="false">IF($A15="",0,IF(Q15&lt;参数!$M$2,参数!$N$2,IF(Q15&lt;参数!$M$3,参数!$N$3,IF(Q15&lt;参数!$M$4,参数!$N$4,IF(Q15&lt;参数!$M$5,参数!$N$5,2)))))</f>
        <v>0</v>
      </c>
      <c r="S15" s="7" t="n">
        <f aca="false">IF($A15="",0,IF(O15="上升",10,IF(O15="平稳",6,IF(O15="下降",2,6))))</f>
        <v>0</v>
      </c>
      <c r="T15" s="7" t="n">
        <f aca="false">IF($A15="",0,P15*0.4+R15*0.4+S15*0.2)</f>
        <v>0</v>
      </c>
      <c r="U15" s="4"/>
      <c r="V15" s="4"/>
      <c r="W15" s="7" t="n">
        <f aca="false">IF($A15="",0,(L15*参数!$B$2+T15*参数!$B$3+U15*参数!$B$4+V15*参数!$B$5)*10)</f>
        <v>0</v>
      </c>
      <c r="X15" s="7" t="str">
        <f aca="false">IF($A15="","",IF(B15="是",0,IF(OR(L15&lt;参数!$B$8,T15&lt;参数!$B$9),MIN(W15,参数!$B$10),W15)))</f>
        <v/>
      </c>
      <c r="Y15" s="0" t="str">
        <f aca="false">IF($A15="","",IF(X15&gt;=80,"主推",IF(X15&gt;=65,"测款",IF(X15&gt;=50,"观察","放弃"))))</f>
        <v/>
      </c>
    </row>
    <row r="16" customFormat="false" ht="15" hidden="false" customHeight="false" outlineLevel="0" collapsed="false">
      <c r="A16" s="4"/>
      <c r="B16" s="4"/>
      <c r="C16" s="4"/>
      <c r="D16" s="4"/>
      <c r="E16" s="5"/>
      <c r="F16" s="4"/>
      <c r="G16" s="4"/>
      <c r="H16" s="6" t="n">
        <f aca="false">IF($A16="",0,IF(C16=0,0,(C16-D16-C16*E16-F16-G16)/C16))</f>
        <v>0</v>
      </c>
      <c r="I16" s="7" t="n">
        <f aca="false">IF($A16="",0,IF(H16&gt;=参数!$D$2,参数!$E$2,IF(H16&gt;=参数!$D$3,参数!$E$3,IF(H16&gt;=参数!$D$4,参数!$E$4,IF(H16&gt;=参数!$D$5,参数!$E$5,参数!$E$6)))))</f>
        <v>0</v>
      </c>
      <c r="J16" s="7" t="n">
        <f aca="false">IF($A16="",0,C16*H16)</f>
        <v>0</v>
      </c>
      <c r="K16" s="7" t="n">
        <f aca="false">IF($A16="",0,IF(J16&gt;=参数!$G$2,参数!$H$2,IF(J16&gt;=参数!$G$3,参数!$H$3,IF(J16&gt;=参数!$G$4,参数!$H$4,IF(J16&gt;=参数!$G$5,参数!$H$5,参数!$H$6)))))</f>
        <v>0</v>
      </c>
      <c r="L16" s="7" t="n">
        <f aca="false">IF($A16="",0,I16*0.6+K16*0.4)</f>
        <v>0</v>
      </c>
      <c r="M16" s="4"/>
      <c r="N16" s="4"/>
      <c r="O16" s="4"/>
      <c r="P16" s="7" t="n">
        <f aca="false">IF($A16="",0,IF(M16&gt;=参数!$J$2,参数!$K$2,IF(M16&gt;=参数!$J$3,参数!$K$3,IF(M16&gt;=参数!$J$4,参数!$K$4,IF(M16&gt;=参数!$J$5,参数!$K$5,参数!$K$6)))))</f>
        <v>0</v>
      </c>
      <c r="Q16" s="8" t="n">
        <f aca="false">IF($A16="",0,IF(M16=0,0,N16/M16))</f>
        <v>0</v>
      </c>
      <c r="R16" s="7" t="n">
        <f aca="false">IF($A16="",0,IF(Q16&lt;参数!$M$2,参数!$N$2,IF(Q16&lt;参数!$M$3,参数!$N$3,IF(Q16&lt;参数!$M$4,参数!$N$4,IF(Q16&lt;参数!$M$5,参数!$N$5,2)))))</f>
        <v>0</v>
      </c>
      <c r="S16" s="7" t="n">
        <f aca="false">IF($A16="",0,IF(O16="上升",10,IF(O16="平稳",6,IF(O16="下降",2,6))))</f>
        <v>0</v>
      </c>
      <c r="T16" s="7" t="n">
        <f aca="false">IF($A16="",0,P16*0.4+R16*0.4+S16*0.2)</f>
        <v>0</v>
      </c>
      <c r="U16" s="4"/>
      <c r="V16" s="4"/>
      <c r="W16" s="7" t="n">
        <f aca="false">IF($A16="",0,(L16*参数!$B$2+T16*参数!$B$3+U16*参数!$B$4+V16*参数!$B$5)*10)</f>
        <v>0</v>
      </c>
      <c r="X16" s="7" t="str">
        <f aca="false">IF($A16="","",IF(B16="是",0,IF(OR(L16&lt;参数!$B$8,T16&lt;参数!$B$9),MIN(W16,参数!$B$10),W16)))</f>
        <v/>
      </c>
      <c r="Y16" s="0" t="str">
        <f aca="false">IF($A16="","",IF(X16&gt;=80,"主推",IF(X16&gt;=65,"测款",IF(X16&gt;=50,"观察","放弃"))))</f>
        <v/>
      </c>
    </row>
    <row r="17" customFormat="false" ht="15" hidden="false" customHeight="false" outlineLevel="0" collapsed="false">
      <c r="A17" s="4"/>
      <c r="B17" s="4"/>
      <c r="C17" s="4"/>
      <c r="D17" s="4"/>
      <c r="E17" s="5"/>
      <c r="F17" s="4"/>
      <c r="G17" s="4"/>
      <c r="H17" s="6" t="n">
        <f aca="false">IF($A17="",0,IF(C17=0,0,(C17-D17-C17*E17-F17-G17)/C17))</f>
        <v>0</v>
      </c>
      <c r="I17" s="7" t="n">
        <f aca="false">IF($A17="",0,IF(H17&gt;=参数!$D$2,参数!$E$2,IF(H17&gt;=参数!$D$3,参数!$E$3,IF(H17&gt;=参数!$D$4,参数!$E$4,IF(H17&gt;=参数!$D$5,参数!$E$5,参数!$E$6)))))</f>
        <v>0</v>
      </c>
      <c r="J17" s="7" t="n">
        <f aca="false">IF($A17="",0,C17*H17)</f>
        <v>0</v>
      </c>
      <c r="K17" s="7" t="n">
        <f aca="false">IF($A17="",0,IF(J17&gt;=参数!$G$2,参数!$H$2,IF(J17&gt;=参数!$G$3,参数!$H$3,IF(J17&gt;=参数!$G$4,参数!$H$4,IF(J17&gt;=参数!$G$5,参数!$H$5,参数!$H$6)))))</f>
        <v>0</v>
      </c>
      <c r="L17" s="7" t="n">
        <f aca="false">IF($A17="",0,I17*0.6+K17*0.4)</f>
        <v>0</v>
      </c>
      <c r="M17" s="4"/>
      <c r="N17" s="4"/>
      <c r="O17" s="4"/>
      <c r="P17" s="7" t="n">
        <f aca="false">IF($A17="",0,IF(M17&gt;=参数!$J$2,参数!$K$2,IF(M17&gt;=参数!$J$3,参数!$K$3,IF(M17&gt;=参数!$J$4,参数!$K$4,IF(M17&gt;=参数!$J$5,参数!$K$5,参数!$K$6)))))</f>
        <v>0</v>
      </c>
      <c r="Q17" s="8" t="n">
        <f aca="false">IF($A17="",0,IF(M17=0,0,N17/M17))</f>
        <v>0</v>
      </c>
      <c r="R17" s="7" t="n">
        <f aca="false">IF($A17="",0,IF(Q17&lt;参数!$M$2,参数!$N$2,IF(Q17&lt;参数!$M$3,参数!$N$3,IF(Q17&lt;参数!$M$4,参数!$N$4,IF(Q17&lt;参数!$M$5,参数!$N$5,2)))))</f>
        <v>0</v>
      </c>
      <c r="S17" s="7" t="n">
        <f aca="false">IF($A17="",0,IF(O17="上升",10,IF(O17="平稳",6,IF(O17="下降",2,6))))</f>
        <v>0</v>
      </c>
      <c r="T17" s="7" t="n">
        <f aca="false">IF($A17="",0,P17*0.4+R17*0.4+S17*0.2)</f>
        <v>0</v>
      </c>
      <c r="U17" s="4"/>
      <c r="V17" s="4"/>
      <c r="W17" s="7" t="n">
        <f aca="false">IF($A17="",0,(L17*参数!$B$2+T17*参数!$B$3+U17*参数!$B$4+V17*参数!$B$5)*10)</f>
        <v>0</v>
      </c>
      <c r="X17" s="7" t="str">
        <f aca="false">IF($A17="","",IF(B17="是",0,IF(OR(L17&lt;参数!$B$8,T17&lt;参数!$B$9),MIN(W17,参数!$B$10),W17)))</f>
        <v/>
      </c>
      <c r="Y17" s="0" t="str">
        <f aca="false">IF($A17="","",IF(X17&gt;=80,"主推",IF(X17&gt;=65,"测款",IF(X17&gt;=50,"观察","放弃"))))</f>
        <v/>
      </c>
    </row>
    <row r="18" customFormat="false" ht="15" hidden="false" customHeight="false" outlineLevel="0" collapsed="false">
      <c r="A18" s="4"/>
      <c r="B18" s="4"/>
      <c r="C18" s="4"/>
      <c r="D18" s="4"/>
      <c r="E18" s="5"/>
      <c r="F18" s="4"/>
      <c r="G18" s="4"/>
      <c r="H18" s="6" t="n">
        <f aca="false">IF($A18="",0,IF(C18=0,0,(C18-D18-C18*E18-F18-G18)/C18))</f>
        <v>0</v>
      </c>
      <c r="I18" s="7" t="n">
        <f aca="false">IF($A18="",0,IF(H18&gt;=参数!$D$2,参数!$E$2,IF(H18&gt;=参数!$D$3,参数!$E$3,IF(H18&gt;=参数!$D$4,参数!$E$4,IF(H18&gt;=参数!$D$5,参数!$E$5,参数!$E$6)))))</f>
        <v>0</v>
      </c>
      <c r="J18" s="7" t="n">
        <f aca="false">IF($A18="",0,C18*H18)</f>
        <v>0</v>
      </c>
      <c r="K18" s="7" t="n">
        <f aca="false">IF($A18="",0,IF(J18&gt;=参数!$G$2,参数!$H$2,IF(J18&gt;=参数!$G$3,参数!$H$3,IF(J18&gt;=参数!$G$4,参数!$H$4,IF(J18&gt;=参数!$G$5,参数!$H$5,参数!$H$6)))))</f>
        <v>0</v>
      </c>
      <c r="L18" s="7" t="n">
        <f aca="false">IF($A18="",0,I18*0.6+K18*0.4)</f>
        <v>0</v>
      </c>
      <c r="M18" s="4"/>
      <c r="N18" s="4"/>
      <c r="O18" s="4"/>
      <c r="P18" s="7" t="n">
        <f aca="false">IF($A18="",0,IF(M18&gt;=参数!$J$2,参数!$K$2,IF(M18&gt;=参数!$J$3,参数!$K$3,IF(M18&gt;=参数!$J$4,参数!$K$4,IF(M18&gt;=参数!$J$5,参数!$K$5,参数!$K$6)))))</f>
        <v>0</v>
      </c>
      <c r="Q18" s="8" t="n">
        <f aca="false">IF($A18="",0,IF(M18=0,0,N18/M18))</f>
        <v>0</v>
      </c>
      <c r="R18" s="7" t="n">
        <f aca="false">IF($A18="",0,IF(Q18&lt;参数!$M$2,参数!$N$2,IF(Q18&lt;参数!$M$3,参数!$N$3,IF(Q18&lt;参数!$M$4,参数!$N$4,IF(Q18&lt;参数!$M$5,参数!$N$5,2)))))</f>
        <v>0</v>
      </c>
      <c r="S18" s="7" t="n">
        <f aca="false">IF($A18="",0,IF(O18="上升",10,IF(O18="平稳",6,IF(O18="下降",2,6))))</f>
        <v>0</v>
      </c>
      <c r="T18" s="7" t="n">
        <f aca="false">IF($A18="",0,P18*0.4+R18*0.4+S18*0.2)</f>
        <v>0</v>
      </c>
      <c r="U18" s="4"/>
      <c r="V18" s="4"/>
      <c r="W18" s="7" t="n">
        <f aca="false">IF($A18="",0,(L18*参数!$B$2+T18*参数!$B$3+U18*参数!$B$4+V18*参数!$B$5)*10)</f>
        <v>0</v>
      </c>
      <c r="X18" s="7" t="str">
        <f aca="false">IF($A18="","",IF(B18="是",0,IF(OR(L18&lt;参数!$B$8,T18&lt;参数!$B$9),MIN(W18,参数!$B$10),W18)))</f>
        <v/>
      </c>
      <c r="Y18" s="0" t="str">
        <f aca="false">IF($A18="","",IF(X18&gt;=80,"主推",IF(X18&gt;=65,"测款",IF(X18&gt;=50,"观察","放弃"))))</f>
        <v/>
      </c>
    </row>
    <row r="19" customFormat="false" ht="15" hidden="false" customHeight="false" outlineLevel="0" collapsed="false">
      <c r="A19" s="4"/>
      <c r="B19" s="4"/>
      <c r="C19" s="4"/>
      <c r="D19" s="4"/>
      <c r="E19" s="5"/>
      <c r="F19" s="4"/>
      <c r="G19" s="4"/>
      <c r="H19" s="6" t="n">
        <f aca="false">IF($A19="",0,IF(C19=0,0,(C19-D19-C19*E19-F19-G19)/C19))</f>
        <v>0</v>
      </c>
      <c r="I19" s="7" t="n">
        <f aca="false">IF($A19="",0,IF(H19&gt;=参数!$D$2,参数!$E$2,IF(H19&gt;=参数!$D$3,参数!$E$3,IF(H19&gt;=参数!$D$4,参数!$E$4,IF(H19&gt;=参数!$D$5,参数!$E$5,参数!$E$6)))))</f>
        <v>0</v>
      </c>
      <c r="J19" s="7" t="n">
        <f aca="false">IF($A19="",0,C19*H19)</f>
        <v>0</v>
      </c>
      <c r="K19" s="7" t="n">
        <f aca="false">IF($A19="",0,IF(J19&gt;=参数!$G$2,参数!$H$2,IF(J19&gt;=参数!$G$3,参数!$H$3,IF(J19&gt;=参数!$G$4,参数!$H$4,IF(J19&gt;=参数!$G$5,参数!$H$5,参数!$H$6)))))</f>
        <v>0</v>
      </c>
      <c r="L19" s="7" t="n">
        <f aca="false">IF($A19="",0,I19*0.6+K19*0.4)</f>
        <v>0</v>
      </c>
      <c r="M19" s="4"/>
      <c r="N19" s="4"/>
      <c r="O19" s="4"/>
      <c r="P19" s="7" t="n">
        <f aca="false">IF($A19="",0,IF(M19&gt;=参数!$J$2,参数!$K$2,IF(M19&gt;=参数!$J$3,参数!$K$3,IF(M19&gt;=参数!$J$4,参数!$K$4,IF(M19&gt;=参数!$J$5,参数!$K$5,参数!$K$6)))))</f>
        <v>0</v>
      </c>
      <c r="Q19" s="8" t="n">
        <f aca="false">IF($A19="",0,IF(M19=0,0,N19/M19))</f>
        <v>0</v>
      </c>
      <c r="R19" s="7" t="n">
        <f aca="false">IF($A19="",0,IF(Q19&lt;参数!$M$2,参数!$N$2,IF(Q19&lt;参数!$M$3,参数!$N$3,IF(Q19&lt;参数!$M$4,参数!$N$4,IF(Q19&lt;参数!$M$5,参数!$N$5,2)))))</f>
        <v>0</v>
      </c>
      <c r="S19" s="7" t="n">
        <f aca="false">IF($A19="",0,IF(O19="上升",10,IF(O19="平稳",6,IF(O19="下降",2,6))))</f>
        <v>0</v>
      </c>
      <c r="T19" s="7" t="n">
        <f aca="false">IF($A19="",0,P19*0.4+R19*0.4+S19*0.2)</f>
        <v>0</v>
      </c>
      <c r="U19" s="4"/>
      <c r="V19" s="4"/>
      <c r="W19" s="7" t="n">
        <f aca="false">IF($A19="",0,(L19*参数!$B$2+T19*参数!$B$3+U19*参数!$B$4+V19*参数!$B$5)*10)</f>
        <v>0</v>
      </c>
      <c r="X19" s="7" t="str">
        <f aca="false">IF($A19="","",IF(B19="是",0,IF(OR(L19&lt;参数!$B$8,T19&lt;参数!$B$9),MIN(W19,参数!$B$10),W19)))</f>
        <v/>
      </c>
      <c r="Y19" s="0" t="str">
        <f aca="false">IF($A19="","",IF(X19&gt;=80,"主推",IF(X19&gt;=65,"测款",IF(X19&gt;=50,"观察","放弃"))))</f>
        <v/>
      </c>
    </row>
    <row r="20" customFormat="false" ht="15" hidden="false" customHeight="false" outlineLevel="0" collapsed="false">
      <c r="A20" s="4"/>
      <c r="B20" s="4"/>
      <c r="C20" s="4"/>
      <c r="D20" s="4"/>
      <c r="E20" s="5"/>
      <c r="F20" s="4"/>
      <c r="G20" s="4"/>
      <c r="H20" s="6" t="n">
        <f aca="false">IF($A20="",0,IF(C20=0,0,(C20-D20-C20*E20-F20-G20)/C20))</f>
        <v>0</v>
      </c>
      <c r="I20" s="7" t="n">
        <f aca="false">IF($A20="",0,IF(H20&gt;=参数!$D$2,参数!$E$2,IF(H20&gt;=参数!$D$3,参数!$E$3,IF(H20&gt;=参数!$D$4,参数!$E$4,IF(H20&gt;=参数!$D$5,参数!$E$5,参数!$E$6)))))</f>
        <v>0</v>
      </c>
      <c r="J20" s="7" t="n">
        <f aca="false">IF($A20="",0,C20*H20)</f>
        <v>0</v>
      </c>
      <c r="K20" s="7" t="n">
        <f aca="false">IF($A20="",0,IF(J20&gt;=参数!$G$2,参数!$H$2,IF(J20&gt;=参数!$G$3,参数!$H$3,IF(J20&gt;=参数!$G$4,参数!$H$4,IF(J20&gt;=参数!$G$5,参数!$H$5,参数!$H$6)))))</f>
        <v>0</v>
      </c>
      <c r="L20" s="7" t="n">
        <f aca="false">IF($A20="",0,I20*0.6+K20*0.4)</f>
        <v>0</v>
      </c>
      <c r="M20" s="4"/>
      <c r="N20" s="4"/>
      <c r="O20" s="4"/>
      <c r="P20" s="7" t="n">
        <f aca="false">IF($A20="",0,IF(M20&gt;=参数!$J$2,参数!$K$2,IF(M20&gt;=参数!$J$3,参数!$K$3,IF(M20&gt;=参数!$J$4,参数!$K$4,IF(M20&gt;=参数!$J$5,参数!$K$5,参数!$K$6)))))</f>
        <v>0</v>
      </c>
      <c r="Q20" s="8" t="n">
        <f aca="false">IF($A20="",0,IF(M20=0,0,N20/M20))</f>
        <v>0</v>
      </c>
      <c r="R20" s="7" t="n">
        <f aca="false">IF($A20="",0,IF(Q20&lt;参数!$M$2,参数!$N$2,IF(Q20&lt;参数!$M$3,参数!$N$3,IF(Q20&lt;参数!$M$4,参数!$N$4,IF(Q20&lt;参数!$M$5,参数!$N$5,2)))))</f>
        <v>0</v>
      </c>
      <c r="S20" s="7" t="n">
        <f aca="false">IF($A20="",0,IF(O20="上升",10,IF(O20="平稳",6,IF(O20="下降",2,6))))</f>
        <v>0</v>
      </c>
      <c r="T20" s="7" t="n">
        <f aca="false">IF($A20="",0,P20*0.4+R20*0.4+S20*0.2)</f>
        <v>0</v>
      </c>
      <c r="U20" s="4"/>
      <c r="V20" s="4"/>
      <c r="W20" s="7" t="n">
        <f aca="false">IF($A20="",0,(L20*参数!$B$2+T20*参数!$B$3+U20*参数!$B$4+V20*参数!$B$5)*10)</f>
        <v>0</v>
      </c>
      <c r="X20" s="7" t="str">
        <f aca="false">IF($A20="","",IF(B20="是",0,IF(OR(L20&lt;参数!$B$8,T20&lt;参数!$B$9),MIN(W20,参数!$B$10),W20)))</f>
        <v/>
      </c>
      <c r="Y20" s="0" t="str">
        <f aca="false">IF($A20="","",IF(X20&gt;=80,"主推",IF(X20&gt;=65,"测款",IF(X20&gt;=50,"观察","放弃"))))</f>
        <v/>
      </c>
    </row>
    <row r="21" customFormat="false" ht="15" hidden="false" customHeight="false" outlineLevel="0" collapsed="false">
      <c r="A21" s="4"/>
      <c r="B21" s="4"/>
      <c r="C21" s="4"/>
      <c r="D21" s="4"/>
      <c r="E21" s="5"/>
      <c r="F21" s="4"/>
      <c r="G21" s="4"/>
      <c r="H21" s="6" t="n">
        <f aca="false">IF($A21="",0,IF(C21=0,0,(C21-D21-C21*E21-F21-G21)/C21))</f>
        <v>0</v>
      </c>
      <c r="I21" s="7" t="n">
        <f aca="false">IF($A21="",0,IF(H21&gt;=参数!$D$2,参数!$E$2,IF(H21&gt;=参数!$D$3,参数!$E$3,IF(H21&gt;=参数!$D$4,参数!$E$4,IF(H21&gt;=参数!$D$5,参数!$E$5,参数!$E$6)))))</f>
        <v>0</v>
      </c>
      <c r="J21" s="7" t="n">
        <f aca="false">IF($A21="",0,C21*H21)</f>
        <v>0</v>
      </c>
      <c r="K21" s="7" t="n">
        <f aca="false">IF($A21="",0,IF(J21&gt;=参数!$G$2,参数!$H$2,IF(J21&gt;=参数!$G$3,参数!$H$3,IF(J21&gt;=参数!$G$4,参数!$H$4,IF(J21&gt;=参数!$G$5,参数!$H$5,参数!$H$6)))))</f>
        <v>0</v>
      </c>
      <c r="L21" s="7" t="n">
        <f aca="false">IF($A21="",0,I21*0.6+K21*0.4)</f>
        <v>0</v>
      </c>
      <c r="M21" s="4"/>
      <c r="N21" s="4"/>
      <c r="O21" s="4"/>
      <c r="P21" s="7" t="n">
        <f aca="false">IF($A21="",0,IF(M21&gt;=参数!$J$2,参数!$K$2,IF(M21&gt;=参数!$J$3,参数!$K$3,IF(M21&gt;=参数!$J$4,参数!$K$4,IF(M21&gt;=参数!$J$5,参数!$K$5,参数!$K$6)))))</f>
        <v>0</v>
      </c>
      <c r="Q21" s="8" t="n">
        <f aca="false">IF($A21="",0,IF(M21=0,0,N21/M21))</f>
        <v>0</v>
      </c>
      <c r="R21" s="7" t="n">
        <f aca="false">IF($A21="",0,IF(Q21&lt;参数!$M$2,参数!$N$2,IF(Q21&lt;参数!$M$3,参数!$N$3,IF(Q21&lt;参数!$M$4,参数!$N$4,IF(Q21&lt;参数!$M$5,参数!$N$5,2)))))</f>
        <v>0</v>
      </c>
      <c r="S21" s="7" t="n">
        <f aca="false">IF($A21="",0,IF(O21="上升",10,IF(O21="平稳",6,IF(O21="下降",2,6))))</f>
        <v>0</v>
      </c>
      <c r="T21" s="7" t="n">
        <f aca="false">IF($A21="",0,P21*0.4+R21*0.4+S21*0.2)</f>
        <v>0</v>
      </c>
      <c r="U21" s="4"/>
      <c r="V21" s="4"/>
      <c r="W21" s="7" t="n">
        <f aca="false">IF($A21="",0,(L21*参数!$B$2+T21*参数!$B$3+U21*参数!$B$4+V21*参数!$B$5)*10)</f>
        <v>0</v>
      </c>
      <c r="X21" s="7" t="str">
        <f aca="false">IF($A21="","",IF(B21="是",0,IF(OR(L21&lt;参数!$B$8,T21&lt;参数!$B$9),MIN(W21,参数!$B$10),W21)))</f>
        <v/>
      </c>
      <c r="Y21" s="0" t="str">
        <f aca="false">IF($A21="","",IF(X21&gt;=80,"主推",IF(X21&gt;=65,"测款",IF(X21&gt;=50,"观察","放弃"))))</f>
        <v/>
      </c>
    </row>
    <row r="22" customFormat="false" ht="15" hidden="false" customHeight="false" outlineLevel="0" collapsed="false">
      <c r="A22" s="4"/>
      <c r="B22" s="4"/>
      <c r="C22" s="4"/>
      <c r="D22" s="4"/>
      <c r="E22" s="5"/>
      <c r="F22" s="4"/>
      <c r="G22" s="4"/>
      <c r="H22" s="6" t="n">
        <f aca="false">IF($A22="",0,IF(C22=0,0,(C22-D22-C22*E22-F22-G22)/C22))</f>
        <v>0</v>
      </c>
      <c r="I22" s="7" t="n">
        <f aca="false">IF($A22="",0,IF(H22&gt;=参数!$D$2,参数!$E$2,IF(H22&gt;=参数!$D$3,参数!$E$3,IF(H22&gt;=参数!$D$4,参数!$E$4,IF(H22&gt;=参数!$D$5,参数!$E$5,参数!$E$6)))))</f>
        <v>0</v>
      </c>
      <c r="J22" s="7" t="n">
        <f aca="false">IF($A22="",0,C22*H22)</f>
        <v>0</v>
      </c>
      <c r="K22" s="7" t="n">
        <f aca="false">IF($A22="",0,IF(J22&gt;=参数!$G$2,参数!$H$2,IF(J22&gt;=参数!$G$3,参数!$H$3,IF(J22&gt;=参数!$G$4,参数!$H$4,IF(J22&gt;=参数!$G$5,参数!$H$5,参数!$H$6)))))</f>
        <v>0</v>
      </c>
      <c r="L22" s="7" t="n">
        <f aca="false">IF($A22="",0,I22*0.6+K22*0.4)</f>
        <v>0</v>
      </c>
      <c r="M22" s="4"/>
      <c r="N22" s="4"/>
      <c r="O22" s="4"/>
      <c r="P22" s="7" t="n">
        <f aca="false">IF($A22="",0,IF(M22&gt;=参数!$J$2,参数!$K$2,IF(M22&gt;=参数!$J$3,参数!$K$3,IF(M22&gt;=参数!$J$4,参数!$K$4,IF(M22&gt;=参数!$J$5,参数!$K$5,参数!$K$6)))))</f>
        <v>0</v>
      </c>
      <c r="Q22" s="8" t="n">
        <f aca="false">IF($A22="",0,IF(M22=0,0,N22/M22))</f>
        <v>0</v>
      </c>
      <c r="R22" s="7" t="n">
        <f aca="false">IF($A22="",0,IF(Q22&lt;参数!$M$2,参数!$N$2,IF(Q22&lt;参数!$M$3,参数!$N$3,IF(Q22&lt;参数!$M$4,参数!$N$4,IF(Q22&lt;参数!$M$5,参数!$N$5,2)))))</f>
        <v>0</v>
      </c>
      <c r="S22" s="7" t="n">
        <f aca="false">IF($A22="",0,IF(O22="上升",10,IF(O22="平稳",6,IF(O22="下降",2,6))))</f>
        <v>0</v>
      </c>
      <c r="T22" s="7" t="n">
        <f aca="false">IF($A22="",0,P22*0.4+R22*0.4+S22*0.2)</f>
        <v>0</v>
      </c>
      <c r="U22" s="4"/>
      <c r="V22" s="4"/>
      <c r="W22" s="7" t="n">
        <f aca="false">IF($A22="",0,(L22*参数!$B$2+T22*参数!$B$3+U22*参数!$B$4+V22*参数!$B$5)*10)</f>
        <v>0</v>
      </c>
      <c r="X22" s="7" t="str">
        <f aca="false">IF($A22="","",IF(B22="是",0,IF(OR(L22&lt;参数!$B$8,T22&lt;参数!$B$9),MIN(W22,参数!$B$10),W22)))</f>
        <v/>
      </c>
      <c r="Y22" s="0" t="str">
        <f aca="false">IF($A22="","",IF(X22&gt;=80,"主推",IF(X22&gt;=65,"测款",IF(X22&gt;=50,"观察","放弃"))))</f>
        <v/>
      </c>
    </row>
    <row r="23" customFormat="false" ht="15" hidden="false" customHeight="false" outlineLevel="0" collapsed="false">
      <c r="A23" s="4"/>
      <c r="B23" s="4"/>
      <c r="C23" s="4"/>
      <c r="D23" s="4"/>
      <c r="E23" s="5"/>
      <c r="F23" s="4"/>
      <c r="G23" s="4"/>
      <c r="H23" s="6" t="n">
        <f aca="false">IF($A23="",0,IF(C23=0,0,(C23-D23-C23*E23-F23-G23)/C23))</f>
        <v>0</v>
      </c>
      <c r="I23" s="7" t="n">
        <f aca="false">IF($A23="",0,IF(H23&gt;=参数!$D$2,参数!$E$2,IF(H23&gt;=参数!$D$3,参数!$E$3,IF(H23&gt;=参数!$D$4,参数!$E$4,IF(H23&gt;=参数!$D$5,参数!$E$5,参数!$E$6)))))</f>
        <v>0</v>
      </c>
      <c r="J23" s="7" t="n">
        <f aca="false">IF($A23="",0,C23*H23)</f>
        <v>0</v>
      </c>
      <c r="K23" s="7" t="n">
        <f aca="false">IF($A23="",0,IF(J23&gt;=参数!$G$2,参数!$H$2,IF(J23&gt;=参数!$G$3,参数!$H$3,IF(J23&gt;=参数!$G$4,参数!$H$4,IF(J23&gt;=参数!$G$5,参数!$H$5,参数!$H$6)))))</f>
        <v>0</v>
      </c>
      <c r="L23" s="7" t="n">
        <f aca="false">IF($A23="",0,I23*0.6+K23*0.4)</f>
        <v>0</v>
      </c>
      <c r="M23" s="4"/>
      <c r="N23" s="4"/>
      <c r="O23" s="4"/>
      <c r="P23" s="7" t="n">
        <f aca="false">IF($A23="",0,IF(M23&gt;=参数!$J$2,参数!$K$2,IF(M23&gt;=参数!$J$3,参数!$K$3,IF(M23&gt;=参数!$J$4,参数!$K$4,IF(M23&gt;=参数!$J$5,参数!$K$5,参数!$K$6)))))</f>
        <v>0</v>
      </c>
      <c r="Q23" s="8" t="n">
        <f aca="false">IF($A23="",0,IF(M23=0,0,N23/M23))</f>
        <v>0</v>
      </c>
      <c r="R23" s="7" t="n">
        <f aca="false">IF($A23="",0,IF(Q23&lt;参数!$M$2,参数!$N$2,IF(Q23&lt;参数!$M$3,参数!$N$3,IF(Q23&lt;参数!$M$4,参数!$N$4,IF(Q23&lt;参数!$M$5,参数!$N$5,2)))))</f>
        <v>0</v>
      </c>
      <c r="S23" s="7" t="n">
        <f aca="false">IF($A23="",0,IF(O23="上升",10,IF(O23="平稳",6,IF(O23="下降",2,6))))</f>
        <v>0</v>
      </c>
      <c r="T23" s="7" t="n">
        <f aca="false">IF($A23="",0,P23*0.4+R23*0.4+S23*0.2)</f>
        <v>0</v>
      </c>
      <c r="U23" s="4"/>
      <c r="V23" s="4"/>
      <c r="W23" s="7" t="n">
        <f aca="false">IF($A23="",0,(L23*参数!$B$2+T23*参数!$B$3+U23*参数!$B$4+V23*参数!$B$5)*10)</f>
        <v>0</v>
      </c>
      <c r="X23" s="7" t="str">
        <f aca="false">IF($A23="","",IF(B23="是",0,IF(OR(L23&lt;参数!$B$8,T23&lt;参数!$B$9),MIN(W23,参数!$B$10),W23)))</f>
        <v/>
      </c>
      <c r="Y23" s="0" t="str">
        <f aca="false">IF($A23="","",IF(X23&gt;=80,"主推",IF(X23&gt;=65,"测款",IF(X23&gt;=50,"观察","放弃"))))</f>
        <v/>
      </c>
    </row>
  </sheetData>
  <mergeCells count="1">
    <mergeCell ref="A1:Y1"/>
  </mergeCells>
  <conditionalFormatting sqref="Y4:Y23">
    <cfRule type="expression" priority="2" aboveAverage="0" equalAverage="0" bottom="0" percent="0" rank="0" text="" dxfId="0">
      <formula>$Y4="主推"</formula>
    </cfRule>
    <cfRule type="expression" priority="3" aboveAverage="0" equalAverage="0" bottom="0" percent="0" rank="0" text="" dxfId="1">
      <formula>$Y4="测款"</formula>
    </cfRule>
    <cfRule type="expression" priority="4" aboveAverage="0" equalAverage="0" bottom="0" percent="0" rank="0" text="" dxfId="2">
      <formula>$Y4="观察"</formula>
    </cfRule>
    <cfRule type="expression" priority="5" aboveAverage="0" equalAverage="0" bottom="0" percent="0" rank="0" text="" dxfId="3">
      <formula>$Y4="放弃"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4" min="1" style="0" width="12.74"/>
  </cols>
  <sheetData>
    <row r="1" customFormat="false" ht="16.4" hidden="false" customHeight="false" outlineLevel="0" collapsed="false">
      <c r="A1" s="9" t="s">
        <v>34</v>
      </c>
      <c r="D1" s="9" t="s">
        <v>35</v>
      </c>
      <c r="E1" s="9" t="s">
        <v>36</v>
      </c>
      <c r="G1" s="9" t="s">
        <v>37</v>
      </c>
      <c r="H1" s="9" t="s">
        <v>36</v>
      </c>
      <c r="J1" s="9" t="s">
        <v>38</v>
      </c>
      <c r="K1" s="9" t="s">
        <v>36</v>
      </c>
      <c r="M1" s="9" t="s">
        <v>39</v>
      </c>
      <c r="N1" s="9" t="s">
        <v>36</v>
      </c>
    </row>
    <row r="2" customFormat="false" ht="15" hidden="false" customHeight="false" outlineLevel="0" collapsed="false">
      <c r="A2" s="0" t="s">
        <v>40</v>
      </c>
      <c r="B2" s="5" t="n">
        <v>0.3</v>
      </c>
      <c r="D2" s="4" t="n">
        <v>0.6</v>
      </c>
      <c r="E2" s="0" t="n">
        <v>10</v>
      </c>
      <c r="G2" s="4" t="n">
        <v>50</v>
      </c>
      <c r="H2" s="0" t="n">
        <v>10</v>
      </c>
      <c r="J2" s="4" t="n">
        <v>10000</v>
      </c>
      <c r="K2" s="0" t="n">
        <v>10</v>
      </c>
      <c r="M2" s="4" t="n">
        <v>1</v>
      </c>
      <c r="N2" s="0" t="n">
        <v>10</v>
      </c>
    </row>
    <row r="3" customFormat="false" ht="15" hidden="false" customHeight="false" outlineLevel="0" collapsed="false">
      <c r="A3" s="0" t="s">
        <v>41</v>
      </c>
      <c r="B3" s="5" t="n">
        <v>0.3</v>
      </c>
      <c r="D3" s="4" t="n">
        <v>0.5</v>
      </c>
      <c r="E3" s="0" t="n">
        <v>8</v>
      </c>
      <c r="G3" s="4" t="n">
        <v>30</v>
      </c>
      <c r="H3" s="0" t="n">
        <v>8</v>
      </c>
      <c r="J3" s="4" t="n">
        <v>5000</v>
      </c>
      <c r="K3" s="0" t="n">
        <v>8</v>
      </c>
      <c r="M3" s="4" t="n">
        <v>3</v>
      </c>
      <c r="N3" s="0" t="n">
        <v>8</v>
      </c>
    </row>
    <row r="4" customFormat="false" ht="15" hidden="false" customHeight="false" outlineLevel="0" collapsed="false">
      <c r="A4" s="0" t="s">
        <v>42</v>
      </c>
      <c r="B4" s="5" t="n">
        <v>0.25</v>
      </c>
      <c r="D4" s="4" t="n">
        <v>0.4</v>
      </c>
      <c r="E4" s="0" t="n">
        <v>6</v>
      </c>
      <c r="G4" s="4" t="n">
        <v>20</v>
      </c>
      <c r="H4" s="0" t="n">
        <v>6</v>
      </c>
      <c r="J4" s="4" t="n">
        <v>2000</v>
      </c>
      <c r="K4" s="0" t="n">
        <v>6</v>
      </c>
      <c r="M4" s="4" t="n">
        <v>6</v>
      </c>
      <c r="N4" s="0" t="n">
        <v>6</v>
      </c>
    </row>
    <row r="5" customFormat="false" ht="15" hidden="false" customHeight="false" outlineLevel="0" collapsed="false">
      <c r="A5" s="0" t="s">
        <v>43</v>
      </c>
      <c r="B5" s="5" t="n">
        <v>0.15</v>
      </c>
      <c r="D5" s="4" t="n">
        <v>0.3</v>
      </c>
      <c r="E5" s="0" t="n">
        <v>4</v>
      </c>
      <c r="G5" s="4" t="n">
        <v>10</v>
      </c>
      <c r="H5" s="0" t="n">
        <v>4</v>
      </c>
      <c r="J5" s="4" t="n">
        <v>500</v>
      </c>
      <c r="K5" s="0" t="n">
        <v>4</v>
      </c>
      <c r="M5" s="4" t="n">
        <v>10</v>
      </c>
      <c r="N5" s="0" t="n">
        <v>4</v>
      </c>
    </row>
    <row r="6" customFormat="false" ht="15" hidden="false" customHeight="false" outlineLevel="0" collapsed="false">
      <c r="D6" s="4" t="n">
        <v>0</v>
      </c>
      <c r="E6" s="0" t="n">
        <v>2</v>
      </c>
      <c r="G6" s="4" t="n">
        <v>0</v>
      </c>
      <c r="H6" s="0" t="n">
        <v>2</v>
      </c>
      <c r="J6" s="4" t="n">
        <v>0</v>
      </c>
      <c r="K6" s="0" t="n">
        <v>2</v>
      </c>
    </row>
    <row r="7" customFormat="false" ht="16.4" hidden="false" customHeight="false" outlineLevel="0" collapsed="false">
      <c r="A7" s="9" t="s">
        <v>44</v>
      </c>
    </row>
    <row r="8" customFormat="false" ht="15" hidden="false" customHeight="false" outlineLevel="0" collapsed="false">
      <c r="A8" s="0" t="s">
        <v>45</v>
      </c>
      <c r="B8" s="4" t="n">
        <v>4</v>
      </c>
    </row>
    <row r="9" customFormat="false" ht="15" hidden="false" customHeight="false" outlineLevel="0" collapsed="false">
      <c r="A9" s="0" t="s">
        <v>46</v>
      </c>
      <c r="B9" s="4" t="n">
        <v>3</v>
      </c>
    </row>
    <row r="10" customFormat="false" ht="15" hidden="false" customHeight="false" outlineLevel="0" collapsed="false">
      <c r="A10" s="0" t="s">
        <v>47</v>
      </c>
      <c r="B10" s="4" t="n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2026-06-13T23:44:02Z</dcterms:created>
  <dc:creator>openpyxl</dc:creator>
  <dc:description/>
  <dc:language>zh-CN</dc:language>
  <cp:lastModifiedBy/>
  <dcterms:modified xsi:type="dcterms:W3CDTF">2026-06-13T23:44:02Z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